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35a8a976f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912b2e0070274f9f"/>
    <x:sheet xmlns:r="http://schemas.openxmlformats.org/officeDocument/2006/relationships" name="用例设计" sheetId="2" r:id="Ra7a903febb524573"/>
    <x:sheet xmlns:r="http://schemas.openxmlformats.org/officeDocument/2006/relationships" name="执行记录" sheetId="3" r:id="Rccd0b70620a342fd"/>
    <x:sheet xmlns:r="http://schemas.openxmlformats.org/officeDocument/2006/relationships" name="环境与来源" sheetId="4" r:id="Ra6596c7a9978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1">
    <x:font>
      <x:sz val="11"/>
      <x:name val="Carlito"/>
    </x:font>
    <x:font>
      <x:sz val="11"/>
      <x:color rgb="FF172B4D"/>
      <x:name val="Heiti SC"/>
    </x:font>
    <x:font>
      <x:b/>
      <x:sz val="20"/>
      <x:color rgb="FF17365D"/>
      <x:name val="Heiti SC"/>
    </x:font>
    <x:font>
      <x:sz val="10"/>
      <x:color rgb="FF526579"/>
      <x:name val="Heiti SC"/>
    </x:font>
    <x:font>
      <x:b/>
      <x:sz val="11"/>
      <x:color rgb="FFFFFFFF"/>
      <x:name val="Heiti SC"/>
    </x:font>
    <x:font>
      <x:b/>
      <x:sz val="11"/>
      <x:color rgb="FF172B4D"/>
      <x:name val="Heiti SC"/>
    </x:font>
    <x:font>
      <x:b/>
      <x:sz val="11"/>
      <x:color rgb="FF17365D"/>
      <x:name val="Heiti SC"/>
    </x:font>
    <x:font>
      <x:b/>
      <x:sz val="20"/>
      <x:color rgb="FF000000"/>
      <x:name val="Heiti SC"/>
    </x:font>
    <x:font>
      <x:sz val="11"/>
      <x:color rgb="FF000000"/>
      <x:name val="Heiti SC"/>
    </x:font>
    <x:font>
      <x:sz val="10"/>
      <x:color rgb="FF000000"/>
      <x:name val="Heiti SC"/>
    </x:font>
    <x:font>
      <x:b/>
      <x:sz val="11"/>
      <x:color rgb="FF000000"/>
      <x:name val="Heiti SC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8E6"/>
      </x:patternFill>
    </x:fill>
    <x:fill>
      <x:patternFill patternType="solid">
        <x:fgColor rgb="FFE8EFF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201" fontId="8" fillId="5" borderId="0" xfId="0" applyNumberFormat="1" applyFont="1" applyFill="1" applyBorder="1" applyAlignment="1">
      <x:alignment vertical="center" wrapText="1"/>
    </x:xf>
    <x:xf numFmtId="201" fontId="10" fillId="5" borderId="0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201" fontId="8" fillId="5" borderId="1" xfId="0" applyNumberFormat="1" applyFont="1" applyFill="1" applyBorder="1" applyAlignment="1">
      <x:alignment vertical="center" wrapText="1"/>
    </x:xf>
    <x:xf numFmtId="0" fontId="10" fillId="5" borderId="2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8" fillId="5" borderId="0" xfId="0" applyNumberFormat="1" applyFont="1" applyFill="1" applyBorder="1" applyAlignment="1">
      <x:alignment vertical="center" wrapText="1"/>
    </x:xf>
    <x:xf numFmtId="200" fontId="8" fillId="5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10" fillId="6" borderId="2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201" fontId="8" fillId="6" borderId="1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201" fontId="10" fillId="6" borderId="0" xfId="0" applyNumberFormat="1" applyFont="1" applyFill="1" applyBorder="1" applyAlignment="1">
      <x:alignment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200" fontId="8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17643C"/>
      </x:font>
      <x:fill>
        <x:patternFill>
          <x:bgColor rgb="FFE6F4EA"/>
        </x:patternFill>
      </x:fill>
    </x:dxf>
    <x:dxf>
      <x:font>
        <x:color rgb="FFA12622"/>
      </x:font>
      <x:fill>
        <x:patternFill>
          <x:bgColor rgb="FFFCE8E6"/>
        </x:patternFill>
      </x:fill>
    </x:dxf>
    <x:dxf>
      <x:font>
        <x:color rgb="FF8C5700"/>
      </x:font>
      <x:fill>
        <x:patternFill>
          <x:bgColor rgb="FFFFF0CE"/>
        </x:patternFill>
      </x:fill>
    </x:dxf>
    <x:dxf>
      <x:font>
        <x:color rgb="FF526579"/>
      </x:font>
      <x:fill>
        <x:patternFill>
          <x:bgColor rgb="FFECEF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285ee4c3841a3" /><Relationship Type="http://schemas.openxmlformats.org/officeDocument/2006/relationships/theme" Target="/xl/theme/theme1.xml" Id="Re717737e5e7f4bc2" /><Relationship Type="http://schemas.openxmlformats.org/officeDocument/2006/relationships/sharedStrings" Target="/xl/sharedStrings.xml" Id="R35dd8d042d584184" /><Relationship Type="http://schemas.openxmlformats.org/officeDocument/2006/relationships/worksheet" Target="/xl/worksheets/sheet1.xml" Id="R912b2e0070274f9f" /><Relationship Type="http://schemas.openxmlformats.org/officeDocument/2006/relationships/worksheet" Target="/xl/worksheets/sheet2.xml" Id="Ra7a903febb524573" /><Relationship Type="http://schemas.openxmlformats.org/officeDocument/2006/relationships/worksheet" Target="/xl/worksheets/sheet3.xml" Id="Rccd0b70620a342fd" /><Relationship Type="http://schemas.openxmlformats.org/officeDocument/2006/relationships/worksheet" Target="/xl/worksheets/sheet4.xml" Id="Ra6596c7a997843c2" /></Relationships>
</file>

<file path=xl/tables/table1.xml><?xml version="1.0" encoding="utf-8"?>
<x:table xmlns:x="http://schemas.openxmlformats.org/spreadsheetml/2006/main" id="3" name="ModuleSummary" displayName="ModuleSummary" ref="A5:H17" headerRowCount="1" totalsRowCount="0" totalsRowShown="0">
  <x:autoFilter ref="A5:H17"/>
  <x:tableColumns count="8">
    <x:tableColumn id="1" name="模块"/>
    <x:tableColumn id="2" name="总用例"/>
    <x:tableColumn id="3" name="未执行"/>
    <x:tableColumn id="4" name="通过"/>
    <x:tableColumn id="5" name="失败"/>
    <x:tableColumn id="6" name="阻塞"/>
    <x:tableColumn id="7" name="跳过"/>
    <x:tableColumn id="8" name="通过率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1" name="CaseDesign" displayName="CaseDesign" ref="A5:K84" headerRowCount="1" totalsRowCount="0" totalsRowShown="0">
  <x:autoFilter ref="A5:K84"/>
  <x:tableColumns count="11">
    <x:tableColumn id="1" name="用例ID"/>
    <x:tableColumn id="2" name="模块"/>
    <x:tableColumn id="3" name="优先级"/>
    <x:tableColumn id="4" name="用例标题"/>
    <x:tableColumn id="5" name="执行环境"/>
    <x:tableColumn id="6" name="前置条件与数据"/>
    <x:tableColumn id="7" name="操作步骤"/>
    <x:tableColumn id="8" name="预期结果"/>
    <x:tableColumn id="9" name="清理要求"/>
    <x:tableColumn id="10" name="关联设计ID"/>
    <x:tableColumn id="11" name="来源ID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2" name="CaseRuns" displayName="CaseRuns" ref="A5:L84" headerRowCount="1" totalsRowCount="0" totalsRowShown="0">
  <x:autoFilter ref="A5:L84"/>
  <x:tableColumns count="12">
    <x:tableColumn id="1" name="用例ID"/>
    <x:tableColumn id="2" name="模块"/>
    <x:tableColumn id="3" name="优先级"/>
    <x:tableColumn id="4" name="用例标题"/>
    <x:tableColumn id="5" name="执行状态"/>
    <x:tableColumn id="6" name="实际结果"/>
    <x:tableColumn id="7" name="执行人"/>
    <x:tableColumn id="8" name="执行日期"/>
    <x:tableColumn id="9" name="缺陷编号"/>
    <x:tableColumn id="10" name="证据位置"/>
    <x:tableColumn id="11" name="运行配置及批次"/>
    <x:tableColumn id="12" name="备注"/>
  </x:tableColumns>
  <x:tableStyleInfo name="TableStyleLight1" showFirstColumn="0" showLastColumn="0" showRowStripes="0" showColumnStripes="0"/>
</x:table>
</file>

<file path=xl/tables/table4.xml><?xml version="1.0" encoding="utf-8"?>
<x:table xmlns:x="http://schemas.openxmlformats.org/spreadsheetml/2006/main" id="4" name="EnvironmentGuide" displayName="EnvironmentGuide" ref="A4:F11" headerRowCount="1" totalsRowCount="0" totalsRowShown="0">
  <x:autoFilter ref="A4:F11"/>
  <x:tableColumns count="6">
    <x:tableColumn id="1" name="编号"/>
    <x:tableColumn id="2" name="环境或资料"/>
    <x:tableColumn id="3" name="准备及使用范围"/>
    <x:tableColumn id="4" name="隔离与约束"/>
    <x:tableColumn id="5" name="记录要求"/>
    <x:tableColumn id="6" name="来源或说明"/>
  </x:tableColumns>
  <x:tableStyleInfo name="TableStyleLight1" showFirstColumn="0" showLastColumn="0" showRowStripes="0" showColumnStripes="0"/>
</x:table>
</file>

<file path=xl/tables/table5.xml><?xml version="1.0" encoding="utf-8"?>
<x:table xmlns:x="http://schemas.openxmlformats.org/spreadsheetml/2006/main" id="5" name="SourceGuide" displayName="SourceGuide" ref="A15:F35" headerRowCount="1" totalsRowCount="0" totalsRowShown="0">
  <x:autoFilter ref="A15:F35"/>
  <x:tableColumns count="6">
    <x:tableColumn id="1" name="来源ID"/>
    <x:tableColumn id="2" name="关联设计ID"/>
    <x:tableColumn id="3" name="相关资料"/>
    <x:tableColumn id="4" name="固定源码地址"/>
    <x:tableColumn id="5" name="用途"/>
    <x:tableColumn id="6" name="证据边界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70af3efde641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c2c99e9aa842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5ea1a2a05248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86870f15260423e" /><Relationship Type="http://schemas.openxmlformats.org/officeDocument/2006/relationships/table" Target="/xl/tables/table5.xml" Id="R298a24d1e25f4173" /></Relationships>
</file>

<file path=xl/worksheets/sheet1.xml><?xml version="1.0" encoding="utf-8"?>
<x:worksheet xmlns:x="http://schemas.openxmlformats.org/spreadsheetml/2006/main">
  <x:sheetPr>
    <x:tabColor rgb="FFFFFFF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</x:cols>
  <x:sheetData>
    <x:row r="1" ht="40" customHeight="1">
      <x:c r="A1" s="36" t="str">
        <x:v>WiseEff 测试用例表</x:v>
      </x:c>
      <x:c r="B1" s="37"/>
      <x:c r="C1" s="37"/>
      <x:c r="D1" s="37"/>
      <x:c r="E1" s="37"/>
      <x:c r="F1" s="37"/>
      <x:c r="G1" s="37"/>
      <x:c r="H1" s="37"/>
    </x:row>
    <x:row r="2" ht="34" customHeight="1">
      <x:c r="A2" s="38" t="str">
        <x:v>2026-09-06 · 源码基线 67d4a77325b6009b77c2373bd788298a6d022bcf</x:v>
      </x:c>
      <x:c r="B2" s="37"/>
      <x:c r="C2" s="37"/>
      <x:c r="D2" s="37"/>
      <x:c r="E2" s="37"/>
      <x:c r="F2" s="37"/>
      <x:c r="G2" s="37"/>
      <x:c r="H2" s="37"/>
    </x:row>
    <x:row r="3" ht="34" customHeight="1">
      <x:c r="A3" s="37" t="str">
        <x:v>本工作簿是测试设计与执行登记材料。当前统计不代表测试通过、完整覆盖或发布批准。</x:v>
      </x:c>
      <x:c r="B3" s="37"/>
      <x:c r="C3" s="37"/>
      <x:c r="D3" s="37"/>
      <x:c r="E3" s="37"/>
      <x:c r="F3" s="37"/>
      <x:c r="G3" s="37"/>
      <x:c r="H3" s="37"/>
    </x:row>
    <x:row r="4" ht="28" customHeight="1">
      <x:c r="A4" s="37"/>
      <x:c r="B4" s="37"/>
      <x:c r="C4" s="37"/>
      <x:c r="D4" s="37"/>
      <x:c r="E4" s="37"/>
      <x:c r="F4" s="37"/>
      <x:c r="G4" s="37"/>
      <x:c r="H4" s="37"/>
    </x:row>
    <x:row r="5" ht="32" customHeight="1">
      <x:c r="A5" s="39" t="str">
        <x:v>模块</x:v>
      </x:c>
      <x:c r="B5" s="39" t="str">
        <x:v>总用例</x:v>
      </x:c>
      <x:c r="C5" s="39" t="str">
        <x:v>未执行</x:v>
      </x:c>
      <x:c r="D5" s="39" t="str">
        <x:v>通过</x:v>
      </x:c>
      <x:c r="E5" s="39" t="str">
        <x:v>失败</x:v>
      </x:c>
      <x:c r="F5" s="39" t="str">
        <x:v>阻塞</x:v>
      </x:c>
      <x:c r="G5" s="39" t="str">
        <x:v>跳过</x:v>
      </x:c>
      <x:c r="H5" s="39" t="str">
        <x:v>通过率</x:v>
      </x:c>
    </x:row>
    <x:row r="6" ht="28" customHeight="1">
      <x:c r="A6" s="40" t="str">
        <x:v>参数评审</x:v>
      </x:c>
      <x:c r="B6" s="40" t="n">
        <x:f>COUNTIF('执行记录'!$B$6:$B$84,A6)</x:f>
        <x:v>9</x:v>
      </x:c>
      <x:c r="C6" s="40" t="n">
        <x:f>COUNTIFS('执行记录'!$B$6:$B$84,$A6,'执行记录'!$E$6:$E$84,C$5)</x:f>
        <x:v>9</x:v>
      </x:c>
      <x:c r="D6" s="40" t="n">
        <x:f>COUNTIFS('执行记录'!$B$6:$B$84,$A6,'执行记录'!$E$6:$E$84,D$5)</x:f>
        <x:v>0</x:v>
      </x:c>
      <x:c r="E6" s="40" t="n">
        <x:f>COUNTIFS('执行记录'!$B$6:$B$84,$A6,'执行记录'!$E$6:$E$84,E$5)</x:f>
        <x:v>0</x:v>
      </x:c>
      <x:c r="F6" s="40" t="n">
        <x:f>COUNTIFS('执行记录'!$B$6:$B$84,$A6,'执行记录'!$E$6:$E$84,F$5)</x:f>
        <x:v>0</x:v>
      </x:c>
      <x:c r="G6" s="40" t="n">
        <x:f>COUNTIFS('执行记录'!$B$6:$B$84,$A6,'执行记录'!$E$6:$E$84,G$5)</x:f>
        <x:v>0</x:v>
      </x:c>
      <x:c r="H6" s="41" t="n">
        <x:f>IF(D6+E6=0,0,D6/(D6+E6))</x:f>
        <x:v>0</x:v>
      </x:c>
    </x:row>
    <x:row r="7" ht="28" customHeight="1">
      <x:c r="A7" s="40" t="str">
        <x:v>文件与配置</x:v>
      </x:c>
      <x:c r="B7" s="40" t="n">
        <x:f>COUNTIF('执行记录'!$B$6:$B$84,A7)</x:f>
        <x:v>4</x:v>
      </x:c>
      <x:c r="C7" s="40" t="n">
        <x:f>COUNTIFS('执行记录'!$B$6:$B$84,$A7,'执行记录'!$E$6:$E$84,C$5)</x:f>
        <x:v>4</x:v>
      </x:c>
      <x:c r="D7" s="40" t="n">
        <x:f>COUNTIFS('执行记录'!$B$6:$B$84,$A7,'执行记录'!$E$6:$E$84,D$5)</x:f>
        <x:v>0</x:v>
      </x:c>
      <x:c r="E7" s="40" t="n">
        <x:f>COUNTIFS('执行记录'!$B$6:$B$84,$A7,'执行记录'!$E$6:$E$84,E$5)</x:f>
        <x:v>0</x:v>
      </x:c>
      <x:c r="F7" s="40" t="n">
        <x:f>COUNTIFS('执行记录'!$B$6:$B$84,$A7,'执行记录'!$E$6:$E$84,F$5)</x:f>
        <x:v>0</x:v>
      </x:c>
      <x:c r="G7" s="40" t="n">
        <x:f>COUNTIFS('执行记录'!$B$6:$B$84,$A7,'执行记录'!$E$6:$E$84,G$5)</x:f>
        <x:v>0</x:v>
      </x:c>
      <x:c r="H7" s="41" t="n">
        <x:f>IF(D7+E7=0,0,D7/(D7+E7))</x:f>
        <x:v>0</x:v>
      </x:c>
    </x:row>
    <x:row r="8" ht="28" customHeight="1">
      <x:c r="A8" s="40" t="str">
        <x:v>目录治理</x:v>
      </x:c>
      <x:c r="B8" s="40" t="n">
        <x:f>COUNTIF('执行记录'!$B$6:$B$84,A8)</x:f>
        <x:v>14</x:v>
      </x:c>
      <x:c r="C8" s="40" t="n">
        <x:f>COUNTIFS('执行记录'!$B$6:$B$84,$A8,'执行记录'!$E$6:$E$84,C$5)</x:f>
        <x:v>14</x:v>
      </x:c>
      <x:c r="D8" s="40" t="n">
        <x:f>COUNTIFS('执行记录'!$B$6:$B$84,$A8,'执行记录'!$E$6:$E$84,D$5)</x:f>
        <x:v>0</x:v>
      </x:c>
      <x:c r="E8" s="40" t="n">
        <x:f>COUNTIFS('执行记录'!$B$6:$B$84,$A8,'执行记录'!$E$6:$E$84,E$5)</x:f>
        <x:v>0</x:v>
      </x:c>
      <x:c r="F8" s="40" t="n">
        <x:f>COUNTIFS('执行记录'!$B$6:$B$84,$A8,'执行记录'!$E$6:$E$84,F$5)</x:f>
        <x:v>0</x:v>
      </x:c>
      <x:c r="G8" s="40" t="n">
        <x:f>COUNTIFS('执行记录'!$B$6:$B$84,$A8,'执行记录'!$E$6:$E$84,G$5)</x:f>
        <x:v>0</x:v>
      </x:c>
      <x:c r="H8" s="41" t="n">
        <x:f>IF(D8+E8=0,0,D8/(D8+E8))</x:f>
        <x:v>0</x:v>
      </x:c>
    </x:row>
    <x:row r="9" ht="28" customHeight="1">
      <x:c r="A9" s="40" t="str">
        <x:v>日志分析</x:v>
      </x:c>
      <x:c r="B9" s="40" t="n">
        <x:f>COUNTIF('执行记录'!$B$6:$B$84,A9)</x:f>
        <x:v>12</x:v>
      </x:c>
      <x:c r="C9" s="40" t="n">
        <x:f>COUNTIFS('执行记录'!$B$6:$B$84,$A9,'执行记录'!$E$6:$E$84,C$5)</x:f>
        <x:v>12</x:v>
      </x:c>
      <x:c r="D9" s="40" t="n">
        <x:f>COUNTIFS('执行记录'!$B$6:$B$84,$A9,'执行记录'!$E$6:$E$84,D$5)</x:f>
        <x:v>0</x:v>
      </x:c>
      <x:c r="E9" s="40" t="n">
        <x:f>COUNTIFS('执行记录'!$B$6:$B$84,$A9,'执行记录'!$E$6:$E$84,E$5)</x:f>
        <x:v>0</x:v>
      </x:c>
      <x:c r="F9" s="40" t="n">
        <x:f>COUNTIFS('执行记录'!$B$6:$B$84,$A9,'执行记录'!$E$6:$E$84,F$5)</x:f>
        <x:v>0</x:v>
      </x:c>
      <x:c r="G9" s="40" t="n">
        <x:f>COUNTIFS('执行记录'!$B$6:$B$84,$A9,'执行记录'!$E$6:$E$84,G$5)</x:f>
        <x:v>0</x:v>
      </x:c>
      <x:c r="H9" s="41" t="n">
        <x:f>IF(D9+E9=0,0,D9/(D9+E9))</x:f>
        <x:v>0</x:v>
      </x:c>
    </x:row>
    <x:row r="10" ht="28" customHeight="1">
      <x:c r="A10" s="40" t="str">
        <x:v>设备调试</x:v>
      </x:c>
      <x:c r="B10" s="40" t="n">
        <x:f>COUNTIF('执行记录'!$B$6:$B$84,A10)</x:f>
        <x:v>10</x:v>
      </x:c>
      <x:c r="C10" s="40" t="n">
        <x:f>COUNTIFS('执行记录'!$B$6:$B$84,$A10,'执行记录'!$E$6:$E$84,C$5)</x:f>
        <x:v>10</x:v>
      </x:c>
      <x:c r="D10" s="40" t="n">
        <x:f>COUNTIFS('执行记录'!$B$6:$B$84,$A10,'执行记录'!$E$6:$E$84,D$5)</x:f>
        <x:v>0</x:v>
      </x:c>
      <x:c r="E10" s="40" t="n">
        <x:f>COUNTIFS('执行记录'!$B$6:$B$84,$A10,'执行记录'!$E$6:$E$84,E$5)</x:f>
        <x:v>0</x:v>
      </x:c>
      <x:c r="F10" s="40" t="n">
        <x:f>COUNTIFS('执行记录'!$B$6:$B$84,$A10,'执行记录'!$E$6:$E$84,F$5)</x:f>
        <x:v>0</x:v>
      </x:c>
      <x:c r="G10" s="40" t="n">
        <x:f>COUNTIFS('执行记录'!$B$6:$B$84,$A10,'执行记录'!$E$6:$E$84,G$5)</x:f>
        <x:v>0</x:v>
      </x:c>
      <x:c r="H10" s="41" t="n">
        <x:f>IF(D10+E10=0,0,D10/(D10+E10))</x:f>
        <x:v>0</x:v>
      </x:c>
    </x:row>
    <x:row r="11" ht="28" customHeight="1">
      <x:c r="A11" s="40" t="str">
        <x:v>身份与安全</x:v>
      </x:c>
      <x:c r="B11" s="40" t="n">
        <x:f>COUNTIF('执行记录'!$B$6:$B$84,A11)</x:f>
        <x:v>7</x:v>
      </x:c>
      <x:c r="C11" s="40" t="n">
        <x:f>COUNTIFS('执行记录'!$B$6:$B$84,$A11,'执行记录'!$E$6:$E$84,C$5)</x:f>
        <x:v>7</x:v>
      </x:c>
      <x:c r="D11" s="40" t="n">
        <x:f>COUNTIFS('执行记录'!$B$6:$B$84,$A11,'执行记录'!$E$6:$E$84,D$5)</x:f>
        <x:v>0</x:v>
      </x:c>
      <x:c r="E11" s="40" t="n">
        <x:f>COUNTIFS('执行记录'!$B$6:$B$84,$A11,'执行记录'!$E$6:$E$84,E$5)</x:f>
        <x:v>0</x:v>
      </x:c>
      <x:c r="F11" s="40" t="n">
        <x:f>COUNTIFS('执行记录'!$B$6:$B$84,$A11,'执行记录'!$E$6:$E$84,F$5)</x:f>
        <x:v>0</x:v>
      </x:c>
      <x:c r="G11" s="40" t="n">
        <x:f>COUNTIFS('执行记录'!$B$6:$B$84,$A11,'执行记录'!$E$6:$E$84,G$5)</x:f>
        <x:v>0</x:v>
      </x:c>
      <x:c r="H11" s="41" t="n">
        <x:f>IF(D11+E11=0,0,D11/(D11+E11))</x:f>
        <x:v>0</x:v>
      </x:c>
    </x:row>
    <x:row r="12" ht="28" customHeight="1">
      <x:c r="A12" s="40" t="str">
        <x:v>小泽助手</x:v>
      </x:c>
      <x:c r="B12" s="40" t="n">
        <x:f>COUNTIF('执行记录'!$B$6:$B$84,A12)</x:f>
        <x:v>6</x:v>
      </x:c>
      <x:c r="C12" s="40" t="n">
        <x:f>COUNTIFS('执行记录'!$B$6:$B$84,$A12,'执行记录'!$E$6:$E$84,C$5)</x:f>
        <x:v>6</x:v>
      </x:c>
      <x:c r="D12" s="40" t="n">
        <x:f>COUNTIFS('执行记录'!$B$6:$B$84,$A12,'执行记录'!$E$6:$E$84,D$5)</x:f>
        <x:v>0</x:v>
      </x:c>
      <x:c r="E12" s="40" t="n">
        <x:f>COUNTIFS('执行记录'!$B$6:$B$84,$A12,'执行记录'!$E$6:$E$84,E$5)</x:f>
        <x:v>0</x:v>
      </x:c>
      <x:c r="F12" s="40" t="n">
        <x:f>COUNTIFS('执行记录'!$B$6:$B$84,$A12,'执行记录'!$E$6:$E$84,F$5)</x:f>
        <x:v>0</x:v>
      </x:c>
      <x:c r="G12" s="40" t="n">
        <x:f>COUNTIFS('执行记录'!$B$6:$B$84,$A12,'执行记录'!$E$6:$E$84,G$5)</x:f>
        <x:v>0</x:v>
      </x:c>
      <x:c r="H12" s="41" t="n">
        <x:f>IF(D12+E12=0,0,D12/(D12+E12))</x:f>
        <x:v>0</x:v>
      </x:c>
    </x:row>
    <x:row r="13" ht="28" customHeight="1">
      <x:c r="A13" s="40" t="str">
        <x:v>知识库</x:v>
      </x:c>
      <x:c r="B13" s="40" t="n">
        <x:f>COUNTIF('执行记录'!$B$6:$B$84,A13)</x:f>
        <x:v>4</x:v>
      </x:c>
      <x:c r="C13" s="40" t="n">
        <x:f>COUNTIFS('执行记录'!$B$6:$B$84,$A13,'执行记录'!$E$6:$E$84,C$5)</x:f>
        <x:v>4</x:v>
      </x:c>
      <x:c r="D13" s="40" t="n">
        <x:f>COUNTIFS('执行记录'!$B$6:$B$84,$A13,'执行记录'!$E$6:$E$84,D$5)</x:f>
        <x:v>0</x:v>
      </x:c>
      <x:c r="E13" s="40" t="n">
        <x:f>COUNTIFS('执行记录'!$B$6:$B$84,$A13,'执行记录'!$E$6:$E$84,E$5)</x:f>
        <x:v>0</x:v>
      </x:c>
      <x:c r="F13" s="40" t="n">
        <x:f>COUNTIFS('执行记录'!$B$6:$B$84,$A13,'执行记录'!$E$6:$E$84,F$5)</x:f>
        <x:v>0</x:v>
      </x:c>
      <x:c r="G13" s="40" t="n">
        <x:f>COUNTIFS('执行记录'!$B$6:$B$84,$A13,'执行记录'!$E$6:$E$84,G$5)</x:f>
        <x:v>0</x:v>
      </x:c>
      <x:c r="H13" s="41" t="n">
        <x:f>IF(D13+E13=0,0,D13/(D13+E13))</x:f>
        <x:v>0</x:v>
      </x:c>
    </x:row>
    <x:row r="14" ht="28" customHeight="1">
      <x:c r="A14" s="40" t="str">
        <x:v>反馈</x:v>
      </x:c>
      <x:c r="B14" s="40" t="n">
        <x:f>COUNTIF('执行记录'!$B$6:$B$84,A14)</x:f>
        <x:v>3</x:v>
      </x:c>
      <x:c r="C14" s="40" t="n">
        <x:f>COUNTIFS('执行记录'!$B$6:$B$84,$A14,'执行记录'!$E$6:$E$84,C$5)</x:f>
        <x:v>3</x:v>
      </x:c>
      <x:c r="D14" s="40" t="n">
        <x:f>COUNTIFS('执行记录'!$B$6:$B$84,$A14,'执行记录'!$E$6:$E$84,D$5)</x:f>
        <x:v>0</x:v>
      </x:c>
      <x:c r="E14" s="40" t="n">
        <x:f>COUNTIFS('执行记录'!$B$6:$B$84,$A14,'执行记录'!$E$6:$E$84,E$5)</x:f>
        <x:v>0</x:v>
      </x:c>
      <x:c r="F14" s="40" t="n">
        <x:f>COUNTIFS('执行记录'!$B$6:$B$84,$A14,'执行记录'!$E$6:$E$84,F$5)</x:f>
        <x:v>0</x:v>
      </x:c>
      <x:c r="G14" s="40" t="n">
        <x:f>COUNTIFS('执行记录'!$B$6:$B$84,$A14,'执行记录'!$E$6:$E$84,G$5)</x:f>
        <x:v>0</x:v>
      </x:c>
      <x:c r="H14" s="41" t="n">
        <x:f>IF(D14+E14=0,0,D14/(D14+E14))</x:f>
        <x:v>0</x:v>
      </x:c>
    </x:row>
    <x:row r="15" ht="28" customHeight="1">
      <x:c r="A15" s="40" t="str">
        <x:v>通知</x:v>
      </x:c>
      <x:c r="B15" s="40" t="n">
        <x:f>COUNTIF('执行记录'!$B$6:$B$84,A15)</x:f>
        <x:v>2</x:v>
      </x:c>
      <x:c r="C15" s="40" t="n">
        <x:f>COUNTIFS('执行记录'!$B$6:$B$84,$A15,'执行记录'!$E$6:$E$84,C$5)</x:f>
        <x:v>2</x:v>
      </x:c>
      <x:c r="D15" s="40" t="n">
        <x:f>COUNTIFS('执行记录'!$B$6:$B$84,$A15,'执行记录'!$E$6:$E$84,D$5)</x:f>
        <x:v>0</x:v>
      </x:c>
      <x:c r="E15" s="40" t="n">
        <x:f>COUNTIFS('执行记录'!$B$6:$B$84,$A15,'执行记录'!$E$6:$E$84,E$5)</x:f>
        <x:v>0</x:v>
      </x:c>
      <x:c r="F15" s="40" t="n">
        <x:f>COUNTIFS('执行记录'!$B$6:$B$84,$A15,'执行记录'!$E$6:$E$84,F$5)</x:f>
        <x:v>0</x:v>
      </x:c>
      <x:c r="G15" s="40" t="n">
        <x:f>COUNTIFS('执行记录'!$B$6:$B$84,$A15,'执行记录'!$E$6:$E$84,G$5)</x:f>
        <x:v>0</x:v>
      </x:c>
      <x:c r="H15" s="41" t="n">
        <x:f>IF(D15+E15=0,0,D15/(D15+E15))</x:f>
        <x:v>0</x:v>
      </x:c>
    </x:row>
    <x:row r="16" ht="28" customHeight="1">
      <x:c r="A16" s="40" t="str">
        <x:v>界面与导航</x:v>
      </x:c>
      <x:c r="B16" s="40" t="n">
        <x:f>COUNTIF('执行记录'!$B$6:$B$84,A16)</x:f>
        <x:v>4</x:v>
      </x:c>
      <x:c r="C16" s="40" t="n">
        <x:f>COUNTIFS('执行记录'!$B$6:$B$84,$A16,'执行记录'!$E$6:$E$84,C$5)</x:f>
        <x:v>4</x:v>
      </x:c>
      <x:c r="D16" s="40" t="n">
        <x:f>COUNTIFS('执行记录'!$B$6:$B$84,$A16,'执行记录'!$E$6:$E$84,D$5)</x:f>
        <x:v>0</x:v>
      </x:c>
      <x:c r="E16" s="40" t="n">
        <x:f>COUNTIFS('执行记录'!$B$6:$B$84,$A16,'执行记录'!$E$6:$E$84,E$5)</x:f>
        <x:v>0</x:v>
      </x:c>
      <x:c r="F16" s="40" t="n">
        <x:f>COUNTIFS('执行记录'!$B$6:$B$84,$A16,'执行记录'!$E$6:$E$84,F$5)</x:f>
        <x:v>0</x:v>
      </x:c>
      <x:c r="G16" s="40" t="n">
        <x:f>COUNTIFS('执行记录'!$B$6:$B$84,$A16,'执行记录'!$E$6:$E$84,G$5)</x:f>
        <x:v>0</x:v>
      </x:c>
      <x:c r="H16" s="41" t="n">
        <x:f>IF(D16+E16=0,0,D16/(D16+E16))</x:f>
        <x:v>0</x:v>
      </x:c>
    </x:row>
    <x:row r="17" ht="28" customHeight="1">
      <x:c r="A17" s="40" t="str">
        <x:v>运行维护</x:v>
      </x:c>
      <x:c r="B17" s="40" t="n">
        <x:f>COUNTIF('执行记录'!$B$6:$B$84,A17)</x:f>
        <x:v>4</x:v>
      </x:c>
      <x:c r="C17" s="40" t="n">
        <x:f>COUNTIFS('执行记录'!$B$6:$B$84,$A17,'执行记录'!$E$6:$E$84,C$5)</x:f>
        <x:v>4</x:v>
      </x:c>
      <x:c r="D17" s="40" t="n">
        <x:f>COUNTIFS('执行记录'!$B$6:$B$84,$A17,'执行记录'!$E$6:$E$84,D$5)</x:f>
        <x:v>0</x:v>
      </x:c>
      <x:c r="E17" s="40" t="n">
        <x:f>COUNTIFS('执行记录'!$B$6:$B$84,$A17,'执行记录'!$E$6:$E$84,E$5)</x:f>
        <x:v>0</x:v>
      </x:c>
      <x:c r="F17" s="40" t="n">
        <x:f>COUNTIFS('执行记录'!$B$6:$B$84,$A17,'执行记录'!$E$6:$E$84,F$5)</x:f>
        <x:v>0</x:v>
      </x:c>
      <x:c r="G17" s="40" t="n">
        <x:f>COUNTIFS('执行记录'!$B$6:$B$84,$A17,'执行记录'!$E$6:$E$84,G$5)</x:f>
        <x:v>0</x:v>
      </x:c>
      <x:c r="H17" s="41" t="n">
        <x:f>IF(D17+E17=0,0,D17/(D17+E17))</x:f>
        <x:v>0</x:v>
      </x:c>
    </x:row>
    <x:row r="18" ht="30" customHeight="1">
      <x:c r="A18" s="42" t="str">
        <x:v>合计</x:v>
      </x:c>
      <x:c r="B18" s="42" t="n">
        <x:f>SUM(B6:B17)</x:f>
        <x:v>79</x:v>
      </x:c>
      <x:c r="C18" s="42" t="n">
        <x:f>SUM(C6:C17)</x:f>
        <x:v>79</x:v>
      </x:c>
      <x:c r="D18" s="42" t="n">
        <x:f>SUM(D6:D17)</x:f>
        <x:v>0</x:v>
      </x:c>
      <x:c r="E18" s="42" t="n">
        <x:f>SUM(E6:E17)</x:f>
        <x:v>0</x:v>
      </x:c>
      <x:c r="F18" s="42" t="n">
        <x:f>SUM(F6:F17)</x:f>
        <x:v>0</x:v>
      </x:c>
      <x:c r="G18" s="42" t="n">
        <x:f>SUM(G6:G17)</x:f>
        <x:v>0</x:v>
      </x:c>
      <x:c r="H18" s="43" t="n">
        <x:f>IF(D18+E18=0,0,D18/(D18+E18))</x:f>
        <x:v>0</x:v>
      </x:c>
    </x:row>
    <x:row r="19" ht="28" customHeight="1">
      <x:c r="A19" s="37"/>
      <x:c r="B19" s="37"/>
      <x:c r="C19" s="37"/>
      <x:c r="D19" s="37"/>
      <x:c r="E19" s="37"/>
      <x:c r="F19" s="37"/>
      <x:c r="G19" s="37"/>
      <x:c r="H19" s="37"/>
    </x:row>
    <x:row r="20" ht="45" customHeight="1">
      <x:c r="A20" s="42" t="str">
        <x:v>统计口径</x:v>
      </x:c>
      <x:c r="B20" s="37" t="str">
        <x:v>通过率 = 通过 ÷（通过 + 失败）；尚无已判定结果时显示 0%。阻塞、跳过与未执行单列。</x:v>
      </x:c>
      <x:c r="C20" s="37"/>
      <x:c r="D20" s="37"/>
      <x:c r="E20" s="37"/>
      <x:c r="F20" s="37"/>
      <x:c r="G20" s="37"/>
      <x:c r="H20" s="37"/>
    </x:row>
    <x:row r="21" ht="45" customHeight="1">
      <x:c r="A21" s="42" t="str">
        <x:v>如何执行</x:v>
      </x:c>
      <x:c r="B21" s="37" t="str">
        <x:v>按用例 ID 在“执行记录”填写状态、实际结果、执行人、日期和证据；通过必须覆盖全部预期。</x:v>
      </x:c>
      <x:c r="C21" s="37"/>
      <x:c r="D21" s="37"/>
      <x:c r="E21" s="37"/>
      <x:c r="F21" s="37"/>
      <x:c r="G21" s="37"/>
      <x:c r="H21" s="37"/>
    </x:row>
    <x:row r="22" ht="45" customHeight="1">
      <x:c r="A22" s="42" t="str">
        <x:v>如何复测</x:v>
      </x:c>
      <x:c r="B22" s="37" t="str">
        <x:v>每个执行批次保存独立副本。复测保留旧记录，填写新批次和原缺陷编号，避免覆盖历史证据。</x:v>
      </x:c>
      <x:c r="C22" s="37"/>
      <x:c r="D22" s="37"/>
      <x:c r="E22" s="37"/>
      <x:c r="F22" s="37"/>
      <x:c r="G22" s="37"/>
      <x:c r="H22" s="37"/>
    </x:row>
    <x:row r="23" ht="45" customHeight="1">
      <x:c r="A23" s="42" t="str">
        <x:v>优先级</x:v>
      </x:c>
      <x:c r="B23" s="37" t="str">
        <x:v>P0 关注越权、错误或重复写入、数据丢失；P1 关注核心流程与结果准确。优先级不构成发布豁免。</x:v>
      </x:c>
      <x:c r="C23" s="37"/>
      <x:c r="D23" s="37"/>
      <x:c r="E23" s="37"/>
      <x:c r="F23" s="37"/>
      <x:c r="G23" s="37"/>
      <x:c r="H23" s="37"/>
    </x:row>
    <x:row r="24" ht="45" customHeight="1">
      <x:c r="A24" s="42" t="str">
        <x:v>阻塞与跳过</x:v>
      </x:c>
      <x:c r="B24" s="37" t="str">
        <x:v>缺少必要环境或数据记阻塞；范围或条件不适用记跳过并写明理由；两者都不能记通过。</x:v>
      </x:c>
      <x:c r="C24" s="37"/>
      <x:c r="D24" s="37"/>
      <x:c r="E24" s="37"/>
      <x:c r="F24" s="37"/>
      <x:c r="G24" s="37"/>
      <x:c r="H24" s="37"/>
    </x:row>
    <x:row r="25" ht="45" customHeight="1">
      <x:c r="A25" s="42" t="str">
        <x:v>证据要求</x:v>
      </x:c>
      <x:c r="B25" s="37" t="str">
        <x:v>记录实际源码 SHA、工作区状态、命令和筛选条件、环境身份、模式、运行 ID，以及适用的 API、数据库、审计和截图。</x:v>
      </x:c>
      <x:c r="C25" s="37"/>
      <x:c r="D25" s="37"/>
      <x:c r="E25" s="37"/>
      <x:c r="F25" s="37"/>
      <x:c r="G25" s="37"/>
      <x:c r="H25" s="37"/>
    </x:row>
    <x:row r="26" ht="45" customHeight="1">
      <x:c r="A26" s="42" t="str">
        <x:v>自动化边界</x:v>
      </x:c>
      <x:c r="B26" s="37" t="str">
        <x:v>来源页列出相关自动化入口，不宣称所有拆分用例已有自动化。在线模型、真机及目标环境须单独执行。</x:v>
      </x:c>
      <x:c r="C26" s="37"/>
      <x:c r="D26" s="37"/>
      <x:c r="E26" s="37"/>
      <x:c r="F26" s="37"/>
      <x:c r="G26" s="37"/>
      <x:c r="H26" s="37"/>
    </x:row>
    <x:row r="27" ht="45" customHeight="1">
      <x:c r="A27" s="42" t="str">
        <x:v>追踪规则</x:v>
      </x:c>
      <x:c r="B27" s="37" t="str">
        <x:v>TC 编号属于本工作簿；TDES 编号对应测试策略的 20 个综合场景，不替换仓库既有验收操作 ID。</x:v>
      </x:c>
      <x:c r="C27" s="37"/>
      <x:c r="D27" s="37"/>
      <x:c r="E27" s="37"/>
      <x:c r="F27" s="37"/>
      <x:c r="G27" s="37"/>
      <x:c r="H27" s="37"/>
    </x:row>
    <x:row r="28" ht="28" customHeight="1">
      <x:c r="A28" s="37"/>
      <x:c r="B28" s="37"/>
      <x:c r="C28" s="37"/>
      <x:c r="D28" s="37"/>
      <x:c r="E28" s="37"/>
      <x:c r="F28" s="37"/>
      <x:c r="G28" s="37"/>
      <x:c r="H28" s="37"/>
    </x:row>
    <x:row r="29" ht="28" customHeight="1">
      <x:c r="A29" s="37"/>
      <x:c r="B29" s="37"/>
      <x:c r="C29" s="37"/>
      <x:c r="D29" s="37"/>
      <x:c r="E29" s="37"/>
      <x:c r="F29" s="37"/>
      <x:c r="G29" s="37"/>
      <x:c r="H29" s="37"/>
    </x:row>
    <x:row r="30" ht="28" customHeight="1">
      <x:c r="A30" s="37"/>
      <x:c r="B30" s="37"/>
      <x:c r="C30" s="37"/>
      <x:c r="D30" s="37"/>
      <x:c r="E30" s="37"/>
      <x:c r="F30" s="37"/>
      <x:c r="G30" s="37"/>
      <x:c r="H30" s="37"/>
    </x:row>
    <x:row r="31" ht="28" customHeight="1">
      <x:c r="A31" s="37"/>
      <x:c r="B31" s="37"/>
      <x:c r="C31" s="37"/>
      <x:c r="D31" s="37"/>
      <x:c r="E31" s="37"/>
      <x:c r="F31" s="37"/>
      <x:c r="G31" s="37"/>
      <x:c r="H31" s="37"/>
    </x:row>
    <x:row r="32" ht="28" customHeight="1">
      <x:c r="A32" s="37"/>
      <x:c r="B32" s="37"/>
      <x:c r="C32" s="37"/>
      <x:c r="D32" s="37"/>
      <x:c r="E32" s="37"/>
      <x:c r="F32" s="37"/>
      <x:c r="G32" s="37"/>
      <x:c r="H32" s="37"/>
    </x:row>
    <x:row r="33" ht="28" customHeight="1">
      <x:c r="A33" s="37"/>
      <x:c r="B33" s="37"/>
      <x:c r="C33" s="37"/>
      <x:c r="D33" s="37"/>
      <x:c r="E33" s="37"/>
      <x:c r="F33" s="37"/>
      <x:c r="G33" s="37"/>
      <x:c r="H33" s="37"/>
    </x:row>
    <x:row r="34" ht="28" customHeight="1">
      <x:c r="A34" s="37"/>
      <x:c r="B34" s="37"/>
      <x:c r="C34" s="37"/>
      <x:c r="D34" s="37"/>
      <x:c r="E34" s="37"/>
      <x:c r="F34" s="37"/>
      <x:c r="G34" s="37"/>
      <x:c r="H34" s="37"/>
    </x:row>
    <x:row r="35" ht="28" customHeight="1">
      <x:c r="A35" s="37"/>
      <x:c r="B35" s="37"/>
      <x:c r="C35" s="37"/>
      <x:c r="D35" s="37"/>
      <x:c r="E35" s="37"/>
      <x:c r="F35" s="37"/>
      <x:c r="G35" s="37"/>
      <x:c r="H35" s="37"/>
    </x:row>
    <x:row r="36" ht="28" customHeight="1">
      <x:c r="A36" s="37"/>
      <x:c r="B36" s="37"/>
      <x:c r="C36" s="37"/>
      <x:c r="D36" s="37"/>
      <x:c r="E36" s="37"/>
      <x:c r="F36" s="37"/>
      <x:c r="G36" s="37"/>
      <x:c r="H36" s="37"/>
    </x:row>
    <x:row r="37" ht="28" customHeight="1">
      <x:c r="A37" s="37"/>
      <x:c r="B37" s="37"/>
      <x:c r="C37" s="37"/>
      <x:c r="D37" s="37"/>
      <x:c r="E37" s="37"/>
      <x:c r="F37" s="37"/>
      <x:c r="G37" s="37"/>
      <x:c r="H37" s="37"/>
    </x:row>
  </x:sheetData>
  <x:mergeCells>
    <x:mergeCell ref="A1:H1"/>
    <x:mergeCell ref="A2:H2"/>
    <x:mergeCell ref="A3:H3"/>
    <x:mergeCell ref="B20:H20"/>
    <x:mergeCell ref="B21:H21"/>
    <x:mergeCell ref="B22:H22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  <x:tableParts count="1">
    <x:tablePart xmlns:r="http://schemas.openxmlformats.org/officeDocument/2006/relationships" r:id="R1f70af3efde64188"/>
  </x:tableParts>
</x:worksheet>
</file>

<file path=xl/worksheets/sheet2.xml><?xml version="1.0" encoding="utf-8"?>
<x:worksheet xmlns:x="http://schemas.openxmlformats.org/spreadsheetml/2006/main">
  <x:sheetPr>
    <x:tabColor rgb="FFFFFFF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110000610351562" hidden="0" customWidth="1"/>
    <x:col min="2" max="2" width="10.5600004196167" hidden="0" customWidth="1"/>
    <x:col min="3" max="3" width="7.110000133514404" hidden="0" customWidth="1"/>
    <x:col min="4" max="4" width="26.670000076293945" hidden="0" customWidth="1"/>
    <x:col min="5" max="5" width="23.329999923706055" hidden="0" customWidth="1"/>
    <x:col min="6" max="6" width="41.11000061035156" hidden="0" customWidth="1"/>
    <x:col min="7" max="7" width="38.88999938964844" hidden="0" customWidth="1"/>
    <x:col min="8" max="8" width="43.33000183105469" hidden="0" customWidth="1"/>
    <x:col min="9" max="9" width="27.219999313354492" hidden="0" customWidth="1"/>
    <x:col min="10" max="10" width="19.440000534057617" hidden="0" customWidth="1"/>
    <x:col min="11" max="11" width="9.4399995803833" hidden="0" customWidth="1"/>
  </x:cols>
  <x:sheetData>
    <x:row r="1" ht="40" customHeight="1">
      <x:c r="A1" s="36" t="str">
        <x:v>WiseEff 测试用例设计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34" customHeight="1">
      <x:c r="A2" s="38" t="str">
        <x:v>2026-09-06 · 源码 67d4a77325b6 · 79 条用例 · 20 个设计场景 · 本次未执行产品测试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</x:row>
    <x:row r="3" ht="28" customHeight="1">
      <x:c r="A3" s="37" t="str">
        <x:v>执行前先阅读“环境与来源”。相关自动化仅供定位，不能据此认定本行已覆盖或通过。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</x:row>
    <x:row r="4" ht="28" customHeight="1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</x:row>
    <x:row r="5" ht="32" customHeight="1">
      <x:c r="A5" s="39" t="str">
        <x:v>用例ID</x:v>
      </x:c>
      <x:c r="B5" s="39" t="str">
        <x:v>模块</x:v>
      </x:c>
      <x:c r="C5" s="39" t="str">
        <x:v>优先级</x:v>
      </x:c>
      <x:c r="D5" s="39" t="str">
        <x:v>用例标题</x:v>
      </x:c>
      <x:c r="E5" s="39" t="str">
        <x:v>执行环境</x:v>
      </x:c>
      <x:c r="F5" s="39" t="str">
        <x:v>前置条件与数据</x:v>
      </x:c>
      <x:c r="G5" s="39" t="str">
        <x:v>操作步骤</x:v>
      </x:c>
      <x:c r="H5" s="39" t="str">
        <x:v>预期结果</x:v>
      </x:c>
      <x:c r="I5" s="39" t="str">
        <x:v>清理要求</x:v>
      </x:c>
      <x:c r="J5" s="39" t="str">
        <x:v>关联设计ID</x:v>
      </x:c>
      <x:c r="K5" s="39" t="str">
        <x:v>来源ID</x:v>
      </x:c>
    </x:row>
    <x:row r="6" ht="104" customHeight="1">
      <x:c r="A6" s="40" t="str">
        <x:v>TC-PARAM-01-01</x:v>
      </x:c>
      <x:c r="B6" s="40" t="str">
        <x:v>参数评审</x:v>
      </x:c>
      <x:c r="C6" s="40" t="str">
        <x:v>P0</x:v>
      </x:c>
      <x:c r="D6" s="40" t="str">
        <x:v>类型化草稿保存</x:v>
      </x:c>
      <x:c r="E6" s="40" t="str">
        <x:v>E1 API + PostgreSQL</x:v>
      </x:c>
      <x:c r="F6" s="40" t="str">
        <x:v>专属项目、可编辑绑定、基线及候选；编辑者与硬件、软件、合入负责人分别登录。
记录原值，准备定义允许的新值及变更原因。</x:v>
      </x:c>
      <x:c r="G6" s="40" t="str">
        <x:v>1. 保存草稿
2. 刷新并重新打开草稿</x:v>
      </x:c>
      <x:c r="H6" s="40" t="str">
        <x:v>目标值、类型、原因和精确绑定保持一致；原基线未改变。</x:v>
      </x:c>
      <x:c r="I6" s="40" t="str">
        <x:v>清理本轮请求、草稿和专属项目；保留失败证据。</x:v>
      </x:c>
      <x:c r="J6" s="40" t="str">
        <x:v>TDES-PARAM-01</x:v>
      </x:c>
      <x:c r="K6" s="40" t="str">
        <x:v>SRC-01</x:v>
      </x:c>
    </x:row>
    <x:row r="7" ht="104" customHeight="1">
      <x:c r="A7" s="40" t="str">
        <x:v>TC-PARAM-01-02</x:v>
      </x:c>
      <x:c r="B7" s="40" t="str">
        <x:v>参数评审</x:v>
      </x:c>
      <x:c r="C7" s="40" t="str">
        <x:v>P0</x:v>
      </x:c>
      <x:c r="D7" s="40" t="str">
        <x:v>完整角色链评审合入</x:v>
      </x:c>
      <x:c r="E7" s="40" t="str">
        <x:v>E1 API + PostgreSQL</x:v>
      </x:c>
      <x:c r="F7" s="40" t="str">
        <x:v>专属项目、可编辑绑定、基线及候选；编辑者与硬件、软件、合入负责人分别登录。
指定本轮各负责人，准备可提交候选。</x:v>
      </x:c>
      <x:c r="G7" s="40" t="str">
        <x:v>1. 编辑者提交
2. 分别以硬件、软件评审身份批准
3. 合入者执行合入
4. 刷新查询历史</x:v>
      </x:c>
      <x:c r="H7" s="40" t="str">
        <x:v>工作流按合法状态前进；合入结果、候选关联、历史和审计持久化。</x:v>
      </x:c>
      <x:c r="I7" s="40" t="str">
        <x:v>清理本轮请求、草稿和专属项目；保留失败证据。</x:v>
      </x:c>
      <x:c r="J7" s="40" t="str">
        <x:v>TDES-PARAM-01</x:v>
      </x:c>
      <x:c r="K7" s="40" t="str">
        <x:v>SRC-01</x:v>
      </x:c>
    </x:row>
    <x:row r="8" ht="104" customHeight="1">
      <x:c r="A8" s="40" t="str">
        <x:v>TC-PARAM-01-03</x:v>
      </x:c>
      <x:c r="B8" s="40" t="str">
        <x:v>参数评审</x:v>
      </x:c>
      <x:c r="C8" s="40" t="str">
        <x:v>P0</x:v>
      </x:c>
      <x:c r="D8" s="40" t="str">
        <x:v>非指定负责人不能代审</x:v>
      </x:c>
      <x:c r="E8" s="40" t="str">
        <x:v>E1 API + PostgreSQL</x:v>
      </x:c>
      <x:c r="F8" s="40" t="str">
        <x:v>专属项目、可编辑绑定、基线及候选；编辑者与硬件、软件、合入负责人分别登录。
准备待评审请求与非该负责人账号。</x:v>
      </x:c>
      <x:c r="G8" s="40" t="str">
        <x:v>1. 记录请求状态
2. 用非指定账号提交评审
3. 再次读取请求</x:v>
      </x:c>
      <x:c r="H8" s="40" t="str">
        <x:v>按权限契约拒绝；请求与候选状态不前进，无业务合入。</x:v>
      </x:c>
      <x:c r="I8" s="40" t="str">
        <x:v>清理本轮请求、草稿和专属项目；保留失败证据。</x:v>
      </x:c>
      <x:c r="J8" s="40" t="str">
        <x:v>TDES-PARAM-01</x:v>
      </x:c>
      <x:c r="K8" s="40" t="str">
        <x:v>SRC-01</x:v>
      </x:c>
    </x:row>
    <x:row r="9" ht="104" customHeight="1">
      <x:c r="A9" s="40" t="str">
        <x:v>TC-PARAM-01-04</x:v>
      </x:c>
      <x:c r="B9" s="40" t="str">
        <x:v>参数评审</x:v>
      </x:c>
      <x:c r="C9" s="40" t="str">
        <x:v>P0</x:v>
      </x:c>
      <x:c r="D9" s="40" t="str">
        <x:v>非法类型或越界值被拒绝</x:v>
      </x:c>
      <x:c r="E9" s="40" t="str">
        <x:v>E1 API + PostgreSQL</x:v>
      </x:c>
      <x:c r="F9" s="40" t="str">
        <x:v>专属项目、可编辑绑定、基线及候选；编辑者与硬件、软件、合入负责人分别登录。
根据所选定义准备类型错误及范围外值，各变体独立记录。</x:v>
      </x:c>
      <x:c r="G9" s="40" t="str">
        <x:v>1. 尝试保存每个非法值
2. 绕过页面直接发同类 API 请求</x:v>
      </x:c>
      <x:c r="H9" s="40" t="str">
        <x:v>前后端均有明确校验；数据库无非法值或部分写回。</x:v>
      </x:c>
      <x:c r="I9" s="40" t="str">
        <x:v>清理本轮请求、草稿和专属项目；保留失败证据。</x:v>
      </x:c>
      <x:c r="J9" s="40" t="str">
        <x:v>TDES-PARAM-01</x:v>
      </x:c>
      <x:c r="K9" s="40" t="str">
        <x:v>SRC-01</x:v>
      </x:c>
    </x:row>
    <x:row r="10" ht="104" customHeight="1">
      <x:c r="A10" s="40" t="str">
        <x:v>TC-PARAM-01-05</x:v>
      </x:c>
      <x:c r="B10" s="40" t="str">
        <x:v>参数评审</x:v>
      </x:c>
      <x:c r="C10" s="40" t="str">
        <x:v>P0</x:v>
      </x:c>
      <x:c r="D10" s="40" t="str">
        <x:v>合入文件精确写回</x:v>
      </x:c>
      <x:c r="E10" s="40" t="str">
        <x:v>E1 API + PostgreSQL</x:v>
      </x:c>
      <x:c r="F10" s="40" t="str">
        <x:v>专属项目、可编辑绑定、基线及候选；编辑者与硬件、软件、合入负责人分别登录。
准备具有明确源 occurrence 的可写文件候选与工具链。</x:v>
      </x:c>
      <x:c r="G10" s="40" t="str">
        <x:v>1. 完成合法评审合入
2. 读取文件字节
3. 重新解析并比较基线</x:v>
      </x:c>
      <x:c r="H10" s="40" t="str">
        <x:v>只修改指定源属性；解析值符合目标，其他内容与不可变基线保持一致。</x:v>
      </x:c>
      <x:c r="I10" s="40" t="str">
        <x:v>清理本轮请求、草稿和专属项目；保留失败证据。</x:v>
      </x:c>
      <x:c r="J10" s="40" t="str">
        <x:v>TDES-PARAM-01</x:v>
      </x:c>
      <x:c r="K10" s="40" t="str">
        <x:v>SRC-01</x:v>
      </x:c>
    </x:row>
    <x:row r="11" ht="104" customHeight="1">
      <x:c r="A11" s="40" t="str">
        <x:v>TC-PARAM-02-01</x:v>
      </x:c>
      <x:c r="B11" s="40" t="str">
        <x:v>参数评审</x:v>
      </x:c>
      <x:c r="C11" s="40" t="str">
        <x:v>P0</x:v>
      </x:c>
      <x:c r="D11" s="40" t="str">
        <x:v>项目切换忽略迟到响应</x:v>
      </x:c>
      <x:c r="E11" s="40" t="str">
        <x:v>E1 API + PostgreSQL</x:v>
      </x:c>
      <x:c r="F11" s="40" t="str">
        <x:v>两个项目和候选，记录初始版本及身份。
允许测试框架控制项目 A 响应时序。</x:v>
      </x:c>
      <x:c r="G11" s="40" t="str">
        <x:v>1. 延迟 A 的加载
2. 切换到 B
3. 释放 A 响应</x:v>
      </x:c>
      <x:c r="H11" s="40" t="str">
        <x:v>B 的值、草稿、负责人不被 A 覆盖；后续操作仍属于 B。</x:v>
      </x:c>
      <x:c r="I11" s="40" t="str">
        <x:v>释放延迟请求并清理所属候选、草稿。</x:v>
      </x:c>
      <x:c r="J11" s="40" t="str">
        <x:v>TDES-PARAM-02</x:v>
      </x:c>
      <x:c r="K11" s="40" t="str">
        <x:v>SRC-02</x:v>
      </x:c>
    </x:row>
    <x:row r="12" ht="104" customHeight="1">
      <x:c r="A12" s="40" t="str">
        <x:v>TC-PARAM-02-02</x:v>
      </x:c>
      <x:c r="B12" s="40" t="str">
        <x:v>参数评审</x:v>
      </x:c>
      <x:c r="C12" s="40" t="str">
        <x:v>P0</x:v>
      </x:c>
      <x:c r="D12" s="40" t="str">
        <x:v>旧候选提交被拒绝</x:v>
      </x:c>
      <x:c r="E12" s="40" t="str">
        <x:v>E1 API + PostgreSQL</x:v>
      </x:c>
      <x:c r="F12" s="40" t="str">
        <x:v>两个项目和候选，记录初始版本及身份。
两会话加载同一候选。</x:v>
      </x:c>
      <x:c r="G12" s="40" t="str">
        <x:v>1. 会话 B 修改候选版本
2. 会话 A 提交旧版本</x:v>
      </x:c>
      <x:c r="H12" s="40" t="str">
        <x:v>返回端点定义的版本冲突；不自动选择新候选，无部分提交。</x:v>
      </x:c>
      <x:c r="I12" s="40" t="str">
        <x:v>释放延迟请求并清理所属候选、草稿。</x:v>
      </x:c>
      <x:c r="J12" s="40" t="str">
        <x:v>TDES-PARAM-02</x:v>
      </x:c>
      <x:c r="K12" s="40" t="str">
        <x:v>SRC-02</x:v>
      </x:c>
    </x:row>
    <x:row r="13" ht="104" customHeight="1">
      <x:c r="A13" s="40" t="str">
        <x:v>TC-PARAM-02-03</x:v>
      </x:c>
      <x:c r="B13" s="40" t="str">
        <x:v>参数评审</x:v>
      </x:c>
      <x:c r="C13" s="40" t="str">
        <x:v>P0</x:v>
      </x:c>
      <x:c r="D13" s="40" t="str">
        <x:v>旧候选合入被拒绝</x:v>
      </x:c>
      <x:c r="E13" s="40" t="str">
        <x:v>E1 API + PostgreSQL</x:v>
      </x:c>
      <x:c r="F13" s="40" t="str">
        <x:v>两个项目和候选，记录初始版本及身份。
会话 A 保留可合入旧视图。</x:v>
      </x:c>
      <x:c r="G13" s="40" t="str">
        <x:v>1. 使当前候选基线漂移
2. 从 A 执行合入
3. 检查文件和项目值</x:v>
      </x:c>
      <x:c r="H13" s="40" t="str">
        <x:v>合入冲突明确；项目值、文件和基线未被旧操作修改。</x:v>
      </x:c>
      <x:c r="I13" s="40" t="str">
        <x:v>释放延迟请求并清理所属候选、草稿。</x:v>
      </x:c>
      <x:c r="J13" s="40" t="str">
        <x:v>TDES-PARAM-02</x:v>
      </x:c>
      <x:c r="K13" s="40" t="str">
        <x:v>SRC-02</x:v>
      </x:c>
    </x:row>
    <x:row r="14" ht="104" customHeight="1">
      <x:c r="A14" s="40" t="str">
        <x:v>TC-PARAM-02-04</x:v>
      </x:c>
      <x:c r="B14" s="40" t="str">
        <x:v>参数评审</x:v>
      </x:c>
      <x:c r="C14" s="40" t="str">
        <x:v>P0</x:v>
      </x:c>
      <x:c r="D14" s="40" t="str">
        <x:v>替换候选身份被拒绝</x:v>
      </x:c>
      <x:c r="E14" s="40" t="str">
        <x:v>E1 API + PostgreSQL</x:v>
      </x:c>
      <x:c r="F14" s="40" t="str">
        <x:v>两个项目和候选，记录初始版本及身份。
另备不同项目或动作的候选。</x:v>
      </x:c>
      <x:c r="G14" s="40" t="str">
        <x:v>1. 拦截提交并替换候选 ID
2. 发送请求
3. 查询两侧状态</x:v>
      </x:c>
      <x:c r="H14" s="40" t="str">
        <x:v>不接受错配的草稿、绑定、动作或候选；两侧均无越权写入。</x:v>
      </x:c>
      <x:c r="I14" s="40" t="str">
        <x:v>释放延迟请求并清理所属候选、草稿。</x:v>
      </x:c>
      <x:c r="J14" s="40" t="str">
        <x:v>TDES-PARAM-02</x:v>
      </x:c>
      <x:c r="K14" s="40" t="str">
        <x:v>SRC-02</x:v>
      </x:c>
    </x:row>
    <x:row r="15" ht="104" customHeight="1">
      <x:c r="A15" s="40" t="str">
        <x:v>TC-FILE-01-01</x:v>
      </x:c>
      <x:c r="B15" s="40" t="str">
        <x:v>文件与配置</x:v>
      </x:c>
      <x:c r="C15" s="40" t="str">
        <x:v>P1</x:v>
      </x:c>
      <x:c r="D15" s="40" t="str">
        <x:v>导入预览后取消</x:v>
      </x:c>
      <x:c r="E15" s="40" t="str">
        <x:v>E1 API + PostgreSQL</x:v>
      </x:c>
      <x:c r="F15" s="40" t="str">
        <x:v>专属配置集、已知源版本；有效 DTS/JSON 及非法变体。
记录现有项目值和文件摘要。</x:v>
      </x:c>
      <x:c r="G15" s="40" t="str">
        <x:v>1. 上传有效文件并查看映射
2. 取消
3. 刷新当前项目与文件</x:v>
      </x:c>
      <x:c r="H15" s="40" t="str">
        <x:v>预览可留暂存记录；当前业务值、文件与激活版本没有变化。</x:v>
      </x:c>
      <x:c r="I15" s="40" t="str">
        <x:v>清理本轮预览、文件对象、版本与配置集。</x:v>
      </x:c>
      <x:c r="J15" s="40" t="str">
        <x:v>TDES-FILE-01</x:v>
      </x:c>
      <x:c r="K15" s="40" t="str">
        <x:v>SRC-03</x:v>
      </x:c>
    </x:row>
    <x:row r="16" ht="104" customHeight="1">
      <x:c r="A16" s="40" t="str">
        <x:v>TC-FILE-01-02</x:v>
      </x:c>
      <x:c r="B16" s="40" t="str">
        <x:v>文件与配置</x:v>
      </x:c>
      <x:c r="C16" s="40" t="str">
        <x:v>P1</x:v>
      </x:c>
      <x:c r="D16" s="40" t="str">
        <x:v>非法导入不可应用</x:v>
      </x:c>
      <x:c r="E16" s="40" t="str">
        <x:v>E1 API + PostgreSQL</x:v>
      </x:c>
      <x:c r="F16" s="40" t="str">
        <x:v>专属配置集、已知源版本；有效 DTS/JSON 及非法变体。
分别准备格式错误、类型错误与不唯一映射。</x:v>
      </x:c>
      <x:c r="G16" s="40" t="str">
        <x:v>1. 预览各变体
2. 尝试继续应用</x:v>
      </x:c>
      <x:c r="H16" s="40" t="str">
        <x:v>具体错误可见，非法内容无法应用；当前文件和项目值保持不变。</x:v>
      </x:c>
      <x:c r="I16" s="40" t="str">
        <x:v>清理本轮预览、文件对象、版本与配置集。</x:v>
      </x:c>
      <x:c r="J16" s="40" t="str">
        <x:v>TDES-FILE-01</x:v>
      </x:c>
      <x:c r="K16" s="40" t="str">
        <x:v>SRC-03</x:v>
      </x:c>
    </x:row>
    <x:row r="17" ht="104" customHeight="1">
      <x:c r="A17" s="40" t="str">
        <x:v>TC-FILE-01-03</x:v>
      </x:c>
      <x:c r="B17" s="40" t="str">
        <x:v>文件与配置</x:v>
      </x:c>
      <x:c r="C17" s="40" t="str">
        <x:v>P1</x:v>
      </x:c>
      <x:c r="D17" s="40" t="str">
        <x:v>有效文件确认应用</x:v>
      </x:c>
      <x:c r="E17" s="40" t="str">
        <x:v>E1 API + PostgreSQL</x:v>
      </x:c>
      <x:c r="F17" s="40" t="str">
        <x:v>专属配置集、已知源版本；有效 DTS/JSON 及非法变体。
准备唯一映射并记录预期类型和值。</x:v>
      </x:c>
      <x:c r="G17" s="40" t="str">
        <x:v>1. 预览并确认应用
2. 读取新版本
3. 重新解析文件</x:v>
      </x:c>
      <x:c r="H17" s="40" t="str">
        <x:v>应用持久化；语法、值类型与预期一致，历史版本保留。</x:v>
      </x:c>
      <x:c r="I17" s="40" t="str">
        <x:v>清理本轮预览、文件对象、版本与配置集。</x:v>
      </x:c>
      <x:c r="J17" s="40" t="str">
        <x:v>TDES-FILE-01</x:v>
      </x:c>
      <x:c r="K17" s="40" t="str">
        <x:v>SRC-03</x:v>
      </x:c>
    </x:row>
    <x:row r="18" ht="104" customHeight="1">
      <x:c r="A18" s="40" t="str">
        <x:v>TC-FILE-01-04</x:v>
      </x:c>
      <x:c r="B18" s="40" t="str">
        <x:v>文件与配置</x:v>
      </x:c>
      <x:c r="C18" s="40" t="str">
        <x:v>P0</x:v>
      </x:c>
      <x:c r="D18" s="40" t="str">
        <x:v>过期配置激活或写回</x:v>
      </x:c>
      <x:c r="E18" s="40" t="str">
        <x:v>E1 API + PostgreSQL</x:v>
      </x:c>
      <x:c r="F18" s="40" t="str">
        <x:v>专属配置集、已知源版本；有效 DTS/JSON 及非法变体。
会话 A 持有旧源版本；两种动作分别建立数据。</x:v>
      </x:c>
      <x:c r="G18" s="40" t="str">
        <x:v>1. 会话 B 更新源版本
2. A 激活或写回旧候选</x:v>
      </x:c>
      <x:c r="H18" s="40" t="str">
        <x:v>旧操作被版本门禁拒绝；无部分激活或写回，输入可供复核。</x:v>
      </x:c>
      <x:c r="I18" s="40" t="str">
        <x:v>清理本轮预览、文件对象、版本与配置集。</x:v>
      </x:c>
      <x:c r="J18" s="40" t="str">
        <x:v>TDES-FILE-01</x:v>
      </x:c>
      <x:c r="K18" s="40" t="str">
        <x:v>SRC-03</x:v>
      </x:c>
    </x:row>
    <x:row r="19" ht="104" customHeight="1">
      <x:c r="A19" s="40" t="str">
        <x:v>TC-CAT-01-01</x:v>
      </x:c>
      <x:c r="B19" s="40" t="str">
        <x:v>目录治理</x:v>
      </x:c>
      <x:c r="C19" s="40" t="str">
        <x:v>P0</x:v>
      </x:c>
      <x:c r="D19" s="40" t="str">
        <x:v>目录固定版本读取</x:v>
      </x:c>
      <x:c r="E19" s="40" t="str">
        <x:v>E2 独立目录 PostgreSQL + pgvector</x:v>
      </x:c>
      <x:c r="F19" s="40" t="str">
        <x:v>已安装目录发布；组织 A 两项目、组织 B 一项目；项目受限与组织范围账号。
记录发布 ID 与摘要。</x:v>
      </x:c>
      <x:c r="G19" s="40" t="str">
        <x:v>1. 读取列表和详情
2. 打开固定版本深链接
3. 刷新及前进后退</x:v>
      </x:c>
      <x:c r="H19" s="40" t="str">
        <x:v>全链路保持发布身份与摘要配对，不混用当前版本解释历史内容。</x:v>
      </x:c>
      <x:c r="I19" s="40" t="str">
        <x:v>关闭专属目录运行时，再清理本轮数据库和对象。</x:v>
      </x:c>
      <x:c r="J19" s="40" t="str">
        <x:v>TDES-CAT-01</x:v>
      </x:c>
      <x:c r="K19" s="40" t="str">
        <x:v>SRC-04</x:v>
      </x:c>
    </x:row>
    <x:row r="20" ht="104" customHeight="1">
      <x:c r="A20" s="40" t="str">
        <x:v>TC-CAT-01-02</x:v>
      </x:c>
      <x:c r="B20" s="40" t="str">
        <x:v>目录治理</x:v>
      </x:c>
      <x:c r="C20" s="40" t="str">
        <x:v>P0</x:v>
      </x:c>
      <x:c r="D20" s="40" t="str">
        <x:v>项目授权范围即时生效</x:v>
      </x:c>
      <x:c r="E20" s="40" t="str">
        <x:v>E2 独立目录 PostgreSQL + pgvector</x:v>
      </x:c>
      <x:c r="F20" s="40" t="str">
        <x:v>已安装目录发布；组织 A 两项目、组织 B 一项目；项目受限与组织范围账号。
账号仅允许项目 A1。</x:v>
      </x:c>
      <x:c r="G20" s="40" t="str">
        <x:v>1. 请求 A2 使用投影
2. 更新数据库角色授权
3. 重新请求</x:v>
      </x:c>
      <x:c r="H20" s="40" t="str">
        <x:v>授权前拒绝或范围隐藏；授权后按新范围返回，不信任客户端 projectId。</x:v>
      </x:c>
      <x:c r="I20" s="40" t="str">
        <x:v>关闭专属目录运行时，再清理本轮数据库和对象。</x:v>
      </x:c>
      <x:c r="J20" s="40" t="str">
        <x:v>TDES-CAT-01</x:v>
      </x:c>
      <x:c r="K20" s="40" t="str">
        <x:v>SRC-04</x:v>
      </x:c>
    </x:row>
    <x:row r="21" ht="104" customHeight="1">
      <x:c r="A21" s="40" t="str">
        <x:v>TC-CAT-01-03</x:v>
      </x:c>
      <x:c r="B21" s="40" t="str">
        <x:v>目录治理</x:v>
      </x:c>
      <x:c r="C21" s="40" t="str">
        <x:v>P0</x:v>
      </x:c>
      <x:c r="D21" s="40" t="str">
        <x:v>目录跨组织隔离</x:v>
      </x:c>
      <x:c r="E21" s="40" t="str">
        <x:v>E2 独立目录 PostgreSQL + pgvector</x:v>
      </x:c>
      <x:c r="F21" s="40" t="str">
        <x:v>已安装目录发布；组织 A 两项目、组织 B 一项目；项目受限与组织范围账号。
准备组织 B 的注册及使用事实。</x:v>
      </x:c>
      <x:c r="G21" s="40" t="str">
        <x:v>1. 组织 A 身份请求 B 对象及使用量</x:v>
      </x:c>
      <x:c r="H21" s="40" t="str">
        <x:v>不泄漏 B 的注册、定义投影或项目使用信息。</x:v>
      </x:c>
      <x:c r="I21" s="40" t="str">
        <x:v>关闭专属目录运行时，再清理本轮数据库和对象。</x:v>
      </x:c>
      <x:c r="J21" s="40" t="str">
        <x:v>TDES-CAT-01</x:v>
      </x:c>
      <x:c r="K21" s="40" t="str">
        <x:v>SRC-04</x:v>
      </x:c>
    </x:row>
    <x:row r="22" ht="104" customHeight="1">
      <x:c r="A22" s="40" t="str">
        <x:v>TC-CAT-01-04</x:v>
      </x:c>
      <x:c r="B22" s="40" t="str">
        <x:v>目录治理</x:v>
      </x:c>
      <x:c r="C22" s="40" t="str">
        <x:v>P1</x:v>
      </x:c>
      <x:c r="D22" s="40" t="str">
        <x:v>目录真实空态</x:v>
      </x:c>
      <x:c r="E22" s="40" t="str">
        <x:v>E2 独立目录 PostgreSQL + pgvector</x:v>
      </x:c>
      <x:c r="F22" s="40" t="str">
        <x:v>已安装目录发布；组织 A 两项目、组织 B 一项目；项目受限与组织范围账号。
分别准备未注册、无定义、筛选无结果与空授权范围。</x:v>
      </x:c>
      <x:c r="G22" s="40" t="str">
        <x:v>1. 逐个读取目录或使用量
2. 检查 UI 与 API</x:v>
      </x:c>
      <x:c r="H22" s="40" t="str">
        <x:v>按各语义呈现真实空态或零值；不出现虚构注册或使用量。</x:v>
      </x:c>
      <x:c r="I22" s="40" t="str">
        <x:v>关闭专属目录运行时，再清理本轮数据库和对象。</x:v>
      </x:c>
      <x:c r="J22" s="40" t="str">
        <x:v>TDES-CAT-01</x:v>
      </x:c>
      <x:c r="K22" s="40" t="str">
        <x:v>SRC-04</x:v>
      </x:c>
    </x:row>
    <x:row r="23" ht="104" customHeight="1">
      <x:c r="A23" s="40" t="str">
        <x:v>TC-CAT-01-05</x:v>
      </x:c>
      <x:c r="B23" s="40" t="str">
        <x:v>目录治理</x:v>
      </x:c>
      <x:c r="C23" s="40" t="str">
        <x:v>P0</x:v>
      </x:c>
      <x:c r="D23" s="40" t="str">
        <x:v>目录未就绪保留错误</x:v>
      </x:c>
      <x:c r="E23" s="40" t="str">
        <x:v>E2 独立目录 PostgreSQL + pgvector</x:v>
      </x:c>
      <x:c r="F23" s="40" t="str">
        <x:v>已安装目录发布；组织 A 两项目、组织 B 一项目；项目受限与组织范围账号。
在隔离框架令目录或投影不可用。</x:v>
      </x:c>
      <x:c r="G23" s="40" t="str">
        <x:v>1. 读取目录与使用信息
2. 刷新界面</x:v>
      </x:c>
      <x:c r="H23" s="40" t="str">
        <x:v>明确错误或未就绪；不会将不可用伪装为空列表或零使用量。</x:v>
      </x:c>
      <x:c r="I23" s="40" t="str">
        <x:v>关闭专属目录运行时，再清理本轮数据库和对象。</x:v>
      </x:c>
      <x:c r="J23" s="40" t="str">
        <x:v>TDES-CAT-01</x:v>
      </x:c>
      <x:c r="K23" s="40" t="str">
        <x:v>SRC-04</x:v>
      </x:c>
    </x:row>
    <x:row r="24" ht="104" customHeight="1">
      <x:c r="A24" s="40" t="str">
        <x:v>TC-CAT-02-01</x:v>
      </x:c>
      <x:c r="B24" s="40" t="str">
        <x:v>目录治理</x:v>
      </x:c>
      <x:c r="C24" s="40" t="str">
        <x:v>P0</x:v>
      </x:c>
      <x:c r="D24" s="40" t="str">
        <x:v>合法提案产生发布意图</x:v>
      </x:c>
      <x:c r="E24" s="40" t="str">
        <x:v>E2 独立目录 PostgreSQL + pgvector</x:v>
      </x:c>
      <x:c r="F24" s="40" t="str">
        <x:v>组织提案者、独立平台评审者、捕获基线与 ETag、唯一幂等键。
记录目录定义原内容。</x:v>
      </x:c>
      <x:c r="G24" s="40" t="str">
        <x:v>1. 创建并提交提案
2. 独立评审者接受
3. 查询意图与定义</x:v>
      </x:c>
      <x:c r="H24" s="40" t="str">
        <x:v>提案关联捕获基线；接受记录发布意图，未直接修改已安装目录定义。</x:v>
      </x:c>
      <x:c r="I24" s="40" t="str">
        <x:v>清理本轮提案与治理数据，保留发布意图证据。</x:v>
      </x:c>
      <x:c r="J24" s="40" t="str">
        <x:v>TDES-CAT-02</x:v>
      </x:c>
      <x:c r="K24" s="40" t="str">
        <x:v>SRC-05</x:v>
      </x:c>
    </x:row>
    <x:row r="25" ht="104" customHeight="1">
      <x:c r="A25" s="40" t="str">
        <x:v>TC-CAT-02-02</x:v>
      </x:c>
      <x:c r="B25" s="40" t="str">
        <x:v>目录治理</x:v>
      </x:c>
      <x:c r="C25" s="40" t="str">
        <x:v>P0</x:v>
      </x:c>
      <x:c r="D25" s="40" t="str">
        <x:v>同请求重试返回原结果</x:v>
      </x:c>
      <x:c r="E25" s="40" t="str">
        <x:v>E2 独立目录 PostgreSQL + pgvector</x:v>
      </x:c>
      <x:c r="F25" s="40" t="str">
        <x:v>组织提案者、独立平台评审者、捕获基线与 ETag、唯一幂等键。
保留完整请求内容及幂等键。</x:v>
      </x:c>
      <x:c r="G25" s="40" t="str">
        <x:v>1. 提交成功
2. 使用相同键和内容再次提交
3. 查询记录数</x:v>
      </x:c>
      <x:c r="H25" s="40" t="str">
        <x:v>返回原提交结果；没有重复提案、发布意图或业务写入。</x:v>
      </x:c>
      <x:c r="I25" s="40" t="str">
        <x:v>清理本轮提案与治理数据，保留发布意图证据。</x:v>
      </x:c>
      <x:c r="J25" s="40" t="str">
        <x:v>TDES-CAT-02</x:v>
      </x:c>
      <x:c r="K25" s="40" t="str">
        <x:v>SRC-05</x:v>
      </x:c>
    </x:row>
    <x:row r="26" ht="104" customHeight="1">
      <x:c r="A26" s="40" t="str">
        <x:v>TC-CAT-02-03</x:v>
      </x:c>
      <x:c r="B26" s="40" t="str">
        <x:v>目录治理</x:v>
      </x:c>
      <x:c r="C26" s="40" t="str">
        <x:v>P0</x:v>
      </x:c>
      <x:c r="D26" s="40" t="str">
        <x:v>幂等键换内容产生冲突</x:v>
      </x:c>
      <x:c r="E26" s="40" t="str">
        <x:v>E2 独立目录 PostgreSQL + pgvector</x:v>
      </x:c>
      <x:c r="F26" s="40" t="str">
        <x:v>组织提案者、独立平台评审者、捕获基线与 ETag、唯一幂等键。
先用唯一键提交内容 A。</x:v>
      </x:c>
      <x:c r="G26" s="40" t="str">
        <x:v>1. 使用同一键提交内容 B
2. 查询原记录</x:v>
      </x:c>
      <x:c r="H26" s="40" t="str">
        <x:v>冲突明确；A 未被覆盖，B 未产生额外提交。</x:v>
      </x:c>
      <x:c r="I26" s="40" t="str">
        <x:v>清理本轮提案与治理数据，保留发布意图证据。</x:v>
      </x:c>
      <x:c r="J26" s="40" t="str">
        <x:v>TDES-CAT-02</x:v>
      </x:c>
      <x:c r="K26" s="40" t="str">
        <x:v>SRC-05</x:v>
      </x:c>
    </x:row>
    <x:row r="27" ht="104" customHeight="1">
      <x:c r="A27" s="40" t="str">
        <x:v>TC-CAT-02-04</x:v>
      </x:c>
      <x:c r="B27" s="40" t="str">
        <x:v>目录治理</x:v>
      </x:c>
      <x:c r="C27" s="40" t="str">
        <x:v>P0</x:v>
      </x:c>
      <x:c r="D27" s="40" t="str">
        <x:v>提交后丢响应安全恢复</x:v>
      </x:c>
      <x:c r="E27" s="40" t="str">
        <x:v>E2 独立目录 PostgreSQL + pgvector</x:v>
      </x:c>
      <x:c r="F27" s="40" t="str">
        <x:v>组织提案者、独立平台评审者、捕获基线与 ETag、唯一幂等键。
启用测试中的提交后响应故障注入。</x:v>
      </x:c>
      <x:c r="G27" s="40" t="str">
        <x:v>1. 发起提交使响应丢失
2. 关闭注入
3. 以原键和内容重试</x:v>
      </x:c>
      <x:c r="H27" s="40" t="str">
        <x:v>取回已经提交的结果；事务只发生一次。</x:v>
      </x:c>
      <x:c r="I27" s="40" t="str">
        <x:v>清理本轮提案与治理数据，保留发布意图证据。</x:v>
      </x:c>
      <x:c r="J27" s="40" t="str">
        <x:v>TDES-CAT-02</x:v>
      </x:c>
      <x:c r="K27" s="40" t="str">
        <x:v>SRC-05</x:v>
      </x:c>
    </x:row>
    <x:row r="28" ht="104" customHeight="1">
      <x:c r="A28" s="40" t="str">
        <x:v>TC-CAT-02-05</x:v>
      </x:c>
      <x:c r="B28" s="40" t="str">
        <x:v>目录治理</x:v>
      </x:c>
      <x:c r="C28" s="40" t="str">
        <x:v>P0</x:v>
      </x:c>
      <x:c r="D28" s="40" t="str">
        <x:v>提案自审与跨组织拒绝</x:v>
      </x:c>
      <x:c r="E28" s="40" t="str">
        <x:v>E2 独立目录 PostgreSQL + pgvector</x:v>
      </x:c>
      <x:c r="F28" s="40" t="str">
        <x:v>组织提案者、独立平台评审者、捕获基线与 ETag、唯一幂等键。
分别准备自审身份和另一组织身份。</x:v>
      </x:c>
      <x:c r="G28" s="40" t="str">
        <x:v>1. 尝试自审
2. 另一组织读取或处理提案
3. 核查状态</x:v>
      </x:c>
      <x:c r="H28" s="40" t="str">
        <x:v>每种越权均被拒绝；无状态前进或跨组织事实泄漏。</x:v>
      </x:c>
      <x:c r="I28" s="40" t="str">
        <x:v>清理本轮提案与治理数据，保留发布意图证据。</x:v>
      </x:c>
      <x:c r="J28" s="40" t="str">
        <x:v>TDES-CAT-02</x:v>
      </x:c>
      <x:c r="K28" s="40" t="str">
        <x:v>SRC-05</x:v>
      </x:c>
    </x:row>
    <x:row r="29" ht="104" customHeight="1">
      <x:c r="A29" s="40" t="str">
        <x:v>TC-CAT-02-06</x:v>
      </x:c>
      <x:c r="B29" s="40" t="str">
        <x:v>目录治理</x:v>
      </x:c>
      <x:c r="C29" s="40" t="str">
        <x:v>P0</x:v>
      </x:c>
      <x:c r="D29" s="40" t="str">
        <x:v>过期 ETag 或基线冲突</x:v>
      </x:c>
      <x:c r="E29" s="40" t="str">
        <x:v>E2 独立目录 PostgreSQL + pgvector</x:v>
      </x:c>
      <x:c r="F29" s="40" t="str">
        <x:v>组织提案者、独立平台评审者、捕获基线与 ETag、唯一幂等键。
保留旧视图并在另一会话制造版本变化。</x:v>
      </x:c>
      <x:c r="G29" s="40" t="str">
        <x:v>1. 用旧条件提交或评审
2. 刷新冲突证据
3. 重新确认</x:v>
      </x:c>
      <x:c r="H29" s="40" t="str">
        <x:v>旧操作不生效；保留编辑内容，刷新后仍需明确确认才能继续。</x:v>
      </x:c>
      <x:c r="I29" s="40" t="str">
        <x:v>清理本轮提案与治理数据，保留发布意图证据。</x:v>
      </x:c>
      <x:c r="J29" s="40" t="str">
        <x:v>TDES-CAT-02</x:v>
      </x:c>
      <x:c r="K29" s="40" t="str">
        <x:v>SRC-05</x:v>
      </x:c>
    </x:row>
    <x:row r="30" ht="104" customHeight="1">
      <x:c r="A30" s="40" t="str">
        <x:v>TC-CAT-03-01</x:v>
      </x:c>
      <x:c r="B30" s="40" t="str">
        <x:v>目录治理</x:v>
      </x:c>
      <x:c r="C30" s="40" t="str">
        <x:v>P1</x:v>
      </x:c>
      <x:c r="D30" s="40" t="str">
        <x:v>分页与注册过滤保持预算</x:v>
      </x:c>
      <x:c r="E30" s="40" t="str">
        <x:v>E2 独立目录 PostgreSQL + pgvector</x:v>
      </x:c>
      <x:c r="F30" s="40" t="str">
        <x:v>使用根 HTTP 批量查询测试的规模、发布和 SQL 计数器。
采用源码声明的数据规模和语句上限。</x:v>
      </x:c>
      <x:c r="G30" s="40" t="str">
        <x:v>1. 请求非空页与空页
2. 在分页前过滤注册
3. 记录 SQL 数</x:v>
      </x:c>
      <x:c r="H30" s="40" t="str">
        <x:v>页内容及总量符合契约；SQL 不随结果逐条增长，满足该场景声明预算。</x:v>
      </x:c>
      <x:c r="I30" s="40" t="str">
        <x:v>关闭测试服务，清理所属数据库。</x:v>
      </x:c>
      <x:c r="J30" s="40" t="str">
        <x:v>TDES-CAT-03</x:v>
      </x:c>
      <x:c r="K30" s="40" t="str">
        <x:v>SRC-06</x:v>
      </x:c>
    </x:row>
    <x:row r="31" ht="104" customHeight="1">
      <x:c r="A31" s="40" t="str">
        <x:v>TC-CAT-03-02</x:v>
      </x:c>
      <x:c r="B31" s="40" t="str">
        <x:v>目录治理</x:v>
      </x:c>
      <x:c r="C31" s="40" t="str">
        <x:v>P1</x:v>
      </x:c>
      <x:c r="D31" s="40" t="str">
        <x:v>非法分页参数被拒绝</x:v>
      </x:c>
      <x:c r="E31" s="40" t="str">
        <x:v>E2 独立目录 PostgreSQL + pgvector</x:v>
      </x:c>
      <x:c r="F31" s="40" t="str">
        <x:v>使用根 HTTP 批量查询测试的规模、发布和 SQL 计数器。
准备端点定义范围外的页大小与非法游标变体。</x:v>
      </x:c>
      <x:c r="G31" s="40" t="str">
        <x:v>1. 分别发送非法参数
2. 检查响应与查询计数</x:v>
      </x:c>
      <x:c r="H31" s="40" t="str">
        <x:v>校验错误明确，不执行无界查询或返回混合发布数据。</x:v>
      </x:c>
      <x:c r="I31" s="40" t="str">
        <x:v>关闭测试服务，清理所属数据库。</x:v>
      </x:c>
      <x:c r="J31" s="40" t="str">
        <x:v>TDES-CAT-03</x:v>
      </x:c>
      <x:c r="K31" s="40" t="str">
        <x:v>SRC-06</x:v>
      </x:c>
    </x:row>
    <x:row r="32" ht="104" customHeight="1">
      <x:c r="A32" s="40" t="str">
        <x:v>TC-CAT-03-03</x:v>
      </x:c>
      <x:c r="B32" s="40" t="str">
        <x:v>目录治理</x:v>
      </x:c>
      <x:c r="C32" s="40" t="str">
        <x:v>P0</x:v>
      </x:c>
      <x:c r="D32" s="40" t="str">
        <x:v>投影失败不静默回退</x:v>
      </x:c>
      <x:c r="E32" s="40" t="str">
        <x:v>E2 独立目录 PostgreSQL + pgvector</x:v>
      </x:c>
      <x:c r="F32" s="40" t="str">
        <x:v>使用根 HTTP 批量查询测试的规模、发布和 SQL 计数器。
分别注入使用量与注册投影失败。</x:v>
      </x:c>
      <x:c r="G32" s="40" t="str">
        <x:v>1. 读取列表
2. 记录响应、SQL 与 UI</x:v>
      </x:c>
      <x:c r="H32" s="40" t="str">
        <x:v>错误保留；没有备用跨组织查询或虚假零值。SQL 数与延迟分别记录。</x:v>
      </x:c>
      <x:c r="I32" s="40" t="str">
        <x:v>关闭测试服务，清理所属数据库。</x:v>
      </x:c>
      <x:c r="J32" s="40" t="str">
        <x:v>TDES-CAT-03</x:v>
      </x:c>
      <x:c r="K32" s="40" t="str">
        <x:v>SRC-06</x:v>
      </x:c>
    </x:row>
    <x:row r="33" ht="104" customHeight="1">
      <x:c r="A33" s="40" t="str">
        <x:v>TC-LOG-01-01</x:v>
      </x:c>
      <x:c r="B33" s="40" t="str">
        <x:v>日志分析</x:v>
      </x:c>
      <x:c r="C33" s="40" t="str">
        <x:v>P1</x:v>
      </x:c>
      <x:c r="D33" s="40" t="str">
        <x:v>支持的日志完成分析</x:v>
      </x:c>
      <x:c r="E33" s="40" t="str">
        <x:v>E1 API + worker + 对象存储</x:v>
      </x:c>
      <x:c r="F33" s="40" t="str">
        <x:v>专属日志域；charging-foldback.log 与 unsupported.bin。
使用 charging-foldback.log，记录原始行。</x:v>
      </x:c>
      <x:c r="G33" s="40" t="str">
        <x:v>1. 上传并询问充电降流原因
2. 观察阶段至终态
3. 打开证据</x:v>
      </x:c>
      <x:c r="H33" s="40" t="str">
        <x:v>报告可追踪到真实行；阶段与持久终态一致，来源及降级信息准确。</x:v>
      </x:c>
      <x:c r="I33" s="40" t="str">
        <x:v>停相关任务后清理本轮日志、反馈、对象键。</x:v>
      </x:c>
      <x:c r="J33" s="40" t="str">
        <x:v>TDES-LOG-01</x:v>
      </x:c>
      <x:c r="K33" s="40" t="str">
        <x:v>SRC-07</x:v>
      </x:c>
    </x:row>
    <x:row r="34" ht="104" customHeight="1">
      <x:c r="A34" s="40" t="str">
        <x:v>TC-LOG-01-02</x:v>
      </x:c>
      <x:c r="B34" s="40" t="str">
        <x:v>日志分析</x:v>
      </x:c>
      <x:c r="C34" s="40" t="str">
        <x:v>P1</x:v>
      </x:c>
      <x:c r="D34" s="40" t="str">
        <x:v>无业务域仍可上传</x:v>
      </x:c>
      <x:c r="E34" s="40" t="str">
        <x:v>E1 API + worker + 对象存储</x:v>
      </x:c>
      <x:c r="F34" s="40" t="str">
        <x:v>专属日志域；charging-foldback.log 与 unsupported.bin。
使用支持的文件且不选择域。</x:v>
      </x:c>
      <x:c r="G34" s="40" t="str">
        <x:v>1. 上传并观察运行
2. 查看详情</x:v>
      </x:c>
      <x:c r="H34" s="40" t="str">
        <x:v>按内建未分类语义处理；不会因未绑定域而阻断合法上传。</x:v>
      </x:c>
      <x:c r="I34" s="40" t="str">
        <x:v>停相关任务后清理本轮日志、反馈、对象键。</x:v>
      </x:c>
      <x:c r="J34" s="40" t="str">
        <x:v>TDES-LOG-01</x:v>
      </x:c>
      <x:c r="K34" s="40" t="str">
        <x:v>SRC-07</x:v>
      </x:c>
    </x:row>
    <x:row r="35" ht="104" customHeight="1">
      <x:c r="A35" s="40" t="str">
        <x:v>TC-LOG-01-03</x:v>
      </x:c>
      <x:c r="B35" s="40" t="str">
        <x:v>日志分析</x:v>
      </x:c>
      <x:c r="C35" s="40" t="str">
        <x:v>P1</x:v>
      </x:c>
      <x:c r="D35" s="40" t="str">
        <x:v>不支持的文件明确失败</x:v>
      </x:c>
      <x:c r="E35" s="40" t="str">
        <x:v>E1 API + worker + 对象存储</x:v>
      </x:c>
      <x:c r="F35" s="40" t="str">
        <x:v>专属日志域；charging-foldback.log 与 unsupported.bin。
使用 unsupported.bin。</x:v>
      </x:c>
      <x:c r="G35" s="40" t="str">
        <x:v>1. 上传
2. 查看记录及分析状态</x:v>
      </x:c>
      <x:c r="H35" s="40" t="str">
        <x:v>显示具体接入失败原因；不出现虚假完成报告或伪造证据。</x:v>
      </x:c>
      <x:c r="I35" s="40" t="str">
        <x:v>停相关任务后清理本轮日志、反馈、对象键。</x:v>
      </x:c>
      <x:c r="J35" s="40" t="str">
        <x:v>TDES-LOG-01</x:v>
      </x:c>
      <x:c r="K35" s="40" t="str">
        <x:v>SRC-07</x:v>
      </x:c>
    </x:row>
    <x:row r="36" ht="104" customHeight="1">
      <x:c r="A36" s="40" t="str">
        <x:v>TC-LOG-01-04</x:v>
      </x:c>
      <x:c r="B36" s="40" t="str">
        <x:v>日志分析</x:v>
      </x:c>
      <x:c r="C36" s="40" t="str">
        <x:v>P1</x:v>
      </x:c>
      <x:c r="D36" s="40" t="str">
        <x:v>日志反馈与归档持久化</x:v>
      </x:c>
      <x:c r="E36" s="40" t="str">
        <x:v>E1 API + worker + 对象存储</x:v>
      </x:c>
      <x:c r="F36" s="40" t="str">
        <x:v>专属日志域；charging-foldback.log 与 unsupported.bin。
已有本轮完成报告。</x:v>
      </x:c>
      <x:c r="G36" s="40" t="str">
        <x:v>1. 提交反馈
2. 归档
3. 刷新默认列表
4. 经授权打开历史</x:v>
      </x:c>
      <x:c r="H36" s="40" t="str">
        <x:v>反馈保留；归档记录从默认活动列表移除，授权历史仍可读取。</x:v>
      </x:c>
      <x:c r="I36" s="40" t="str">
        <x:v>停相关任务后清理本轮日志、反馈、对象键。</x:v>
      </x:c>
      <x:c r="J36" s="40" t="str">
        <x:v>TDES-LOG-01</x:v>
      </x:c>
      <x:c r="K36" s="40" t="str">
        <x:v>SRC-07</x:v>
      </x:c>
    </x:row>
    <x:row r="37" ht="104" customHeight="1">
      <x:c r="A37" s="40" t="str">
        <x:v>TC-LOG-02-01</x:v>
      </x:c>
      <x:c r="B37" s="40" t="str">
        <x:v>日志分析</x:v>
      </x:c>
      <x:c r="C37" s="40" t="str">
        <x:v>P1</x:v>
      </x:c>
      <x:c r="D37" s="40" t="str">
        <x:v>虚构证据引用被识别</x:v>
      </x:c>
      <x:c r="E37" s="40" t="str">
        <x:v>E3 确定性模型评测</x:v>
      </x:c>
      <x:c r="F37" s="40" t="str">
        <x:v>脚本模型与只读工具；每个变体分别覆盖 loop 和 single-shot。
脚本输出不存在的行或不支持结论的证据。</x:v>
      </x:c>
      <x:c r="G37" s="40" t="str">
        <x:v>1. 运行评测
2. 检查报告引用和接地结果</x:v>
      </x:c>
      <x:c r="H37" s="40" t="str">
        <x:v>不向用户展示虚构引用为可靠证据；按契约收敛、回退或失败。</x:v>
      </x:c>
      <x:c r="I37" s="40" t="str">
        <x:v>重置模型注入与预算，清理本轮评测产物。</x:v>
      </x:c>
      <x:c r="J37" s="40" t="str">
        <x:v>TDES-LOG-02</x:v>
      </x:c>
      <x:c r="K37" s="40" t="str">
        <x:v>SRC-08</x:v>
      </x:c>
    </x:row>
    <x:row r="38" ht="104" customHeight="1">
      <x:c r="A38" s="40" t="str">
        <x:v>TC-LOG-02-02</x:v>
      </x:c>
      <x:c r="B38" s="40" t="str">
        <x:v>日志分析</x:v>
      </x:c>
      <x:c r="C38" s="40" t="str">
        <x:v>P0</x:v>
      </x:c>
      <x:c r="D38" s="40" t="str">
        <x:v>非法工具及参数不执行</x:v>
      </x:c>
      <x:c r="E38" s="40" t="str">
        <x:v>E3 确定性模型评测</x:v>
      </x:c>
      <x:c r="F38" s="40" t="str">
        <x:v>脚本模型与只读工具；每个变体分别覆盖 loop 和 single-shot。
分别返回写工具名及非法只读工具参数。</x:v>
      </x:c>
      <x:c r="G38" s="40" t="str">
        <x:v>1. 运行分析
2. 检查工具调用与副作用记录</x:v>
      </x:c>
      <x:c r="H38" s="40" t="str">
        <x:v>非法调用被拒绝；无写入副作用或越界读取。</x:v>
      </x:c>
      <x:c r="I38" s="40" t="str">
        <x:v>重置模型注入与预算，清理本轮评测产物。</x:v>
      </x:c>
      <x:c r="J38" s="40" t="str">
        <x:v>TDES-LOG-02</x:v>
      </x:c>
      <x:c r="K38" s="40" t="str">
        <x:v>SRC-08</x:v>
      </x:c>
    </x:row>
    <x:row r="39" ht="104" customHeight="1">
      <x:c r="A39" s="40" t="str">
        <x:v>TC-LOG-02-03</x:v>
      </x:c>
      <x:c r="B39" s="40" t="str">
        <x:v>日志分析</x:v>
      </x:c>
      <x:c r="C39" s="40" t="str">
        <x:v>P1</x:v>
      </x:c>
      <x:c r="D39" s="40" t="str">
        <x:v>模型不可用时如实降级</x:v>
      </x:c>
      <x:c r="E39" s="40" t="str">
        <x:v>E3 确定性模型评测</x:v>
      </x:c>
      <x:c r="F39" s="40" t="str">
        <x:v>脚本模型与只读工具；每个变体分别覆盖 loop 和 single-shot。
供应方返回确定性不可用错误。</x:v>
      </x:c>
      <x:c r="G39" s="40" t="str">
        <x:v>1. 触发分析
2. 记录重试和最终报告</x:v>
      </x:c>
      <x:c r="H39" s="40" t="str">
        <x:v>重试有界；规则回退显示来源与 provider-unavailable，失败不伪装完成。</x:v>
      </x:c>
      <x:c r="I39" s="40" t="str">
        <x:v>重置模型注入与预算，清理本轮评测产物。</x:v>
      </x:c>
      <x:c r="J39" s="40" t="str">
        <x:v>TDES-LOG-02</x:v>
      </x:c>
      <x:c r="K39" s="40" t="str">
        <x:v>SRC-08</x:v>
      </x:c>
    </x:row>
    <x:row r="40" ht="104" customHeight="1">
      <x:c r="A40" s="40" t="str">
        <x:v>TC-LOG-02-04</x:v>
      </x:c>
      <x:c r="B40" s="40" t="str">
        <x:v>日志分析</x:v>
      </x:c>
      <x:c r="C40" s="40" t="str">
        <x:v>P1</x:v>
      </x:c>
      <x:c r="D40" s="40" t="str">
        <x:v>畸形模型输出受控处理</x:v>
      </x:c>
      <x:c r="E40" s="40" t="str">
        <x:v>E3 确定性模型评测</x:v>
      </x:c>
      <x:c r="F40" s="40" t="str">
        <x:v>脚本模型与只读工具；每个变体分别覆盖 loop 和 single-shot。
准备不符合结构的模型响应。</x:v>
      </x:c>
      <x:c r="G40" s="40" t="str">
        <x:v>1. 运行分析
2. 检查解析失败与最终状态</x:v>
      </x:c>
      <x:c r="H40" s="40" t="str">
        <x:v>结构校验失败可追踪；无崩溃泄漏或虚假 agent 成功结果。</x:v>
      </x:c>
      <x:c r="I40" s="40" t="str">
        <x:v>重置模型注入与预算，清理本轮评测产物。</x:v>
      </x:c>
      <x:c r="J40" s="40" t="str">
        <x:v>TDES-LOG-02</x:v>
      </x:c>
      <x:c r="K40" s="40" t="str">
        <x:v>SRC-08</x:v>
      </x:c>
    </x:row>
    <x:row r="41" ht="104" customHeight="1">
      <x:c r="A41" s="40" t="str">
        <x:v>TC-LOG-02-05</x:v>
      </x:c>
      <x:c r="B41" s="40" t="str">
        <x:v>日志分析</x:v>
      </x:c>
      <x:c r="C41" s="40" t="str">
        <x:v>P1</x:v>
      </x:c>
      <x:c r="D41" s="40" t="str">
        <x:v>预算与证据不足有界收敛</x:v>
      </x:c>
      <x:c r="E41" s="40" t="str">
        <x:v>E3 确定性模型评测</x:v>
      </x:c>
      <x:c r="F41" s="40" t="str">
        <x:v>脚本模型与只读工具；每个变体分别覆盖 loop 和 single-shot。
分别设置步骤耗尽、token 耗尽及证据不足。</x:v>
      </x:c>
      <x:c r="G41" s="40" t="str">
        <x:v>1. 逐变体运行
2. 检查调用数、来源、原因与置信度</x:v>
      </x:c>
      <x:c r="H41" s="40" t="str">
        <x:v>不无限循环；按契约提前收敛或回退，置信度与降级原因如实表达。</x:v>
      </x:c>
      <x:c r="I41" s="40" t="str">
        <x:v>重置模型注入与预算，清理本轮评测产物。</x:v>
      </x:c>
      <x:c r="J41" s="40" t="str">
        <x:v>TDES-LOG-02</x:v>
      </x:c>
      <x:c r="K41" s="40" t="str">
        <x:v>SRC-08</x:v>
      </x:c>
    </x:row>
    <x:row r="42" ht="104" customHeight="1">
      <x:c r="A42" s="40" t="str">
        <x:v>TC-LOG-03-01</x:v>
      </x:c>
      <x:c r="B42" s="40" t="str">
        <x:v>日志分析</x:v>
      </x:c>
      <x:c r="C42" s="40" t="str">
        <x:v>P0</x:v>
      </x:c>
      <x:c r="D42" s="40" t="str">
        <x:v>同任务重复投递</x:v>
      </x:c>
      <x:c r="E42" s="40" t="str">
        <x:v>E1 隔离 worker + PostgreSQL</x:v>
      </x:c>
      <x:c r="F42" s="40" t="str">
        <x:v>本轮任务、可控租约与终态谓词；不操作共享队列。
准备尚未处理的同一任务 ID。</x:v>
      </x:c>
      <x:c r="G42" s="40" t="str">
        <x:v>1. 重复投递
2. 观察认领及完成写入</x:v>
      </x:c>
      <x:c r="H42" s="40" t="str">
        <x:v>认领规则控制处理权；不会产生互相覆盖的重复终态或报告。</x:v>
      </x:c>
      <x:c r="I42" s="40" t="str">
        <x:v>先停 worker，再清理本轮任务和对象。</x:v>
      </x:c>
      <x:c r="J42" s="40" t="str">
        <x:v>TDES-LOG-03</x:v>
      </x:c>
      <x:c r="K42" s="40" t="str">
        <x:v>SRC-09</x:v>
      </x:c>
    </x:row>
    <x:row r="43" ht="104" customHeight="1">
      <x:c r="A43" s="40" t="str">
        <x:v>TC-LOG-03-02</x:v>
      </x:c>
      <x:c r="B43" s="40" t="str">
        <x:v>日志分析</x:v>
      </x:c>
      <x:c r="C43" s="40" t="str">
        <x:v>P0</x:v>
      </x:c>
      <x:c r="D43" s="40" t="str">
        <x:v>过期 worker 无权覆盖</x:v>
      </x:c>
      <x:c r="E43" s="40" t="str">
        <x:v>E1 隔离 worker + PostgreSQL</x:v>
      </x:c>
      <x:c r="F43" s="40" t="str">
        <x:v>本轮任务、可控租约与终态谓词；不操作共享队列。
worker A 持有租约。</x:v>
      </x:c>
      <x:c r="G43" s="40" t="str">
        <x:v>1. 令 A 租约到期
2. B 重新认领并更新
3. A 尝试进度及完成写入</x:v>
      </x:c>
      <x:c r="H43" s="40" t="str">
        <x:v>A 写入被拒绝或忽略；B 的当前结果保持不变。</x:v>
      </x:c>
      <x:c r="I43" s="40" t="str">
        <x:v>先停 worker，再清理本轮任务和对象。</x:v>
      </x:c>
      <x:c r="J43" s="40" t="str">
        <x:v>TDES-LOG-03</x:v>
      </x:c>
      <x:c r="K43" s="40" t="str">
        <x:v>SRC-09</x:v>
      </x:c>
    </x:row>
    <x:row r="44" ht="104" customHeight="1">
      <x:c r="A44" s="40" t="str">
        <x:v>TC-LOG-03-03</x:v>
      </x:c>
      <x:c r="B44" s="40" t="str">
        <x:v>日志分析</x:v>
      </x:c>
      <x:c r="C44" s="40" t="str">
        <x:v>P1</x:v>
      </x:c>
      <x:c r="D44" s="40" t="str">
        <x:v>失败重试和死信可追踪</x:v>
      </x:c>
      <x:c r="E44" s="40" t="str">
        <x:v>E1 隔离 worker + PostgreSQL</x:v>
      </x:c>
      <x:c r="F44" s="40" t="str">
        <x:v>本轮任务、可控租约与终态谓词；不操作共享队列。
注入可恢复失败及持续失败两类错误。</x:v>
      </x:c>
      <x:c r="G44" s="40" t="str">
        <x:v>1. 触发处理
2. 观察重试计数与最终状态</x:v>
      </x:c>
      <x:c r="H44" s="40" t="str">
        <x:v>可恢复任务按策略完成；持续失败保留原因和死信，分发成功不算处理成功。</x:v>
      </x:c>
      <x:c r="I44" s="40" t="str">
        <x:v>先停 worker，再清理本轮任务和对象。</x:v>
      </x:c>
      <x:c r="J44" s="40" t="str">
        <x:v>TDES-LOG-03</x:v>
      </x:c>
      <x:c r="K44" s="40" t="str">
        <x:v>SRC-09</x:v>
      </x:c>
    </x:row>
    <x:row r="45" ht="104" customHeight="1">
      <x:c r="A45" s="40" t="str">
        <x:v>TC-DBG-01-01</x:v>
      </x:c>
      <x:c r="B45" s="40" t="str">
        <x:v>设备调试</x:v>
      </x:c>
      <x:c r="C45" s="40" t="str">
        <x:v>P0</x:v>
      </x:c>
      <x:c r="D45" s="40" t="str">
        <x:v>模拟器读取与确认写入</x:v>
      </x:c>
      <x:c r="E45" s="40" t="str">
        <x:v>E4 模拟器 + Device Bridge</x:v>
      </x:c>
      <x:c r="F45" s="40" t="str">
        <x:v>已启用协议绑定与授权设备；测试值仅适用于模拟器。
使用测试基线 3000 与合法目标 3100。</x:v>
      </x:c>
      <x:c r="G45" s="40" t="str">
        <x:v>1. 读取当前值
2. 确认写入
3. 读取并刷新操作历史</x:v>
      </x:c>
      <x:c r="H45" s="40" t="str">
        <x:v>命令结果与实际观测分别记录；确认前不写入，历史和审计关联正确。</x:v>
      </x:c>
      <x:c r="I45" s="40" t="str">
        <x:v>使用写前快照恢复模拟器，清理本轮连接与操作数据。</x:v>
      </x:c>
      <x:c r="J45" s="40" t="str">
        <x:v>TDES-DBG-01</x:v>
      </x:c>
      <x:c r="K45" s="40" t="str">
        <x:v>SRC-10</x:v>
      </x:c>
    </x:row>
    <x:row r="46" ht="104" customHeight="1">
      <x:c r="A46" s="40" t="str">
        <x:v>TC-DBG-01-02</x:v>
      </x:c>
      <x:c r="B46" s="40" t="str">
        <x:v>设备调试</x:v>
      </x:c>
      <x:c r="C46" s="40" t="str">
        <x:v>P0</x:v>
      </x:c>
      <x:c r="D46" s="40" t="str">
        <x:v>写入值不同于观测值仍如实记录</x:v>
      </x:c>
      <x:c r="E46" s="40" t="str">
        <x:v>E4 模拟器 + Device Bridge</x:v>
      </x:c>
      <x:c r="F46" s="40" t="str">
        <x:v>已启用协议绑定与授权设备；测试值仅适用于模拟器。
使用测试探针写 2 后读 1。</x:v>
      </x:c>
      <x:c r="G46" s="40" t="str">
        <x:v>1. 发送确认写入
2. 获取写后观测
3. 查看结果</x:v>
      </x:c>
      <x:c r="H46" s="40" t="str">
        <x:v>记录命令成功及实际观测 1；不因数值不等自动制造命令失败。</x:v>
      </x:c>
      <x:c r="I46" s="40" t="str">
        <x:v>使用写前快照恢复模拟器，清理本轮连接与操作数据。</x:v>
      </x:c>
      <x:c r="J46" s="40" t="str">
        <x:v>TDES-DBG-01</x:v>
      </x:c>
      <x:c r="K46" s="40" t="str">
        <x:v>SRC-10</x:v>
      </x:c>
    </x:row>
    <x:row r="47" ht="104" customHeight="1">
      <x:c r="A47" s="40" t="str">
        <x:v>TC-DBG-01-03</x:v>
      </x:c>
      <x:c r="B47" s="40" t="str">
        <x:v>设备调试</x:v>
      </x:c>
      <x:c r="C47" s="40" t="str">
        <x:v>P0</x:v>
      </x:c>
      <x:c r="D47" s="40" t="str">
        <x:v>只读节点及越权写入拒绝</x:v>
      </x:c>
      <x:c r="E47" s="40" t="str">
        <x:v>E4 模拟器 + Device Bridge</x:v>
      </x:c>
      <x:c r="F47" s="40" t="str">
        <x:v>已启用协议绑定与授权设备；测试值仅适用于模拟器。
准备只读节点、无写权限账号；各自运行。</x:v>
      </x:c>
      <x:c r="G47" s="40" t="str">
        <x:v>1. 从 UI 尝试写入
2. 直接调用写 API
3. 读取设备值</x:v>
      </x:c>
      <x:c r="H47" s="40" t="str">
        <x:v>服务端拒绝非法写入；设备无副作用，页面不只依赖隐藏按钮。</x:v>
      </x:c>
      <x:c r="I47" s="40" t="str">
        <x:v>使用写前快照恢复模拟器，清理本轮连接与操作数据。</x:v>
      </x:c>
      <x:c r="J47" s="40" t="str">
        <x:v>TDES-DBG-01</x:v>
      </x:c>
      <x:c r="K47" s="40" t="str">
        <x:v>SRC-10</x:v>
      </x:c>
    </x:row>
    <x:row r="48" ht="104" customHeight="1">
      <x:c r="A48" s="40" t="str">
        <x:v>TC-DBG-01-04</x:v>
      </x:c>
      <x:c r="B48" s="40" t="str">
        <x:v>设备调试</x:v>
      </x:c>
      <x:c r="C48" s="40" t="str">
        <x:v>P0</x:v>
      </x:c>
      <x:c r="D48" s="40" t="str">
        <x:v>恢复写前快照</x:v>
      </x:c>
      <x:c r="E48" s="40" t="str">
        <x:v>E4 模拟器 + Device Bridge</x:v>
      </x:c>
      <x:c r="F48" s="40" t="str">
        <x:v>已启用协议绑定与授权设备；测试值仅适用于模拟器。
先记录快照再合法修改模拟器。</x:v>
      </x:c>
      <x:c r="G48" s="40" t="str">
        <x:v>1. 执行恢复
2. 重新读取值
3. 查看恢复记录</x:v>
      </x:c>
      <x:c r="H48" s="40" t="str">
        <x:v>恢复到所选快照对应目标；恢复动作与原写入各自可追踪。</x:v>
      </x:c>
      <x:c r="I48" s="40" t="str">
        <x:v>使用写前快照恢复模拟器，清理本轮连接与操作数据。</x:v>
      </x:c>
      <x:c r="J48" s="40" t="str">
        <x:v>TDES-DBG-01</x:v>
      </x:c>
      <x:c r="K48" s="40" t="str">
        <x:v>SRC-10</x:v>
      </x:c>
    </x:row>
    <x:row r="49" ht="104" customHeight="1">
      <x:c r="A49" s="40" t="str">
        <x:v>TC-DBG-02-01</x:v>
      </x:c>
      <x:c r="B49" s="40" t="str">
        <x:v>设备调试</x:v>
      </x:c>
      <x:c r="C49" s="40" t="str">
        <x:v>P0</x:v>
      </x:c>
      <x:c r="D49" s="40" t="str">
        <x:v>编译或预检失败阻止部署</x:v>
      </x:c>
      <x:c r="E49" s="40" t="str">
        <x:v>E4 模拟器或授权实验室设备</x:v>
      </x:c>
      <x:c r="F49" s="40" t="str">
        <x:v>固定 DTS 工具链、基线、桥能力与设备租约；真机单独记录环境。
分别准备非法 overlay 和工具链不可用。</x:v>
      </x:c>
      <x:c r="G49" s="40" t="str">
        <x:v>1. 执行重载预检
2. 检查桥调用记录</x:v>
      </x:c>
      <x:c r="H49" s="40" t="str">
        <x:v>失败原因清楚；未执行设备部署，参数库基线保持不变。</x:v>
      </x:c>
      <x:c r="I49" s="40" t="str">
        <x:v>恢复设备基线；失败保留残留与产物，交由该运行所有者处理。</x:v>
      </x:c>
      <x:c r="J49" s="40" t="str">
        <x:v>TDES-DBG-02</x:v>
      </x:c>
      <x:c r="K49" s="40" t="str">
        <x:v>SRC-11</x:v>
      </x:c>
    </x:row>
    <x:row r="50" ht="104" customHeight="1">
      <x:c r="A50" s="40" t="str">
        <x:v>TC-DBG-02-02</x:v>
      </x:c>
      <x:c r="B50" s="40" t="str">
        <x:v>设备调试</x:v>
      </x:c>
      <x:c r="C50" s="40" t="str">
        <x:v>P0</x:v>
      </x:c>
      <x:c r="D50" s="40" t="str">
        <x:v>缺少能力或确认阻止部署</x:v>
      </x:c>
      <x:c r="E50" s="40" t="str">
        <x:v>E4 模拟器或授权实验室设备</x:v>
      </x:c>
      <x:c r="F50" s="40" t="str">
        <x:v>固定 DTS 工具链、基线、桥能力与设备租约；真机单独记录环境。
分别移除桥能力、租约、确认及权限。</x:v>
      </x:c>
      <x:c r="G50" s="40" t="str">
        <x:v>1. 逐变体请求部署
2. 查询操作与设备状态</x:v>
      </x:c>
      <x:c r="H50" s="40" t="str">
        <x:v>每项必要条件单独生效；没有设备写入副作用。</x:v>
      </x:c>
      <x:c r="I50" s="40" t="str">
        <x:v>恢复设备基线；失败保留残留与产物，交由该运行所有者处理。</x:v>
      </x:c>
      <x:c r="J50" s="40" t="str">
        <x:v>TDES-DBG-02</x:v>
      </x:c>
      <x:c r="K50" s="40" t="str">
        <x:v>SRC-11</x:v>
      </x:c>
    </x:row>
    <x:row r="51" ht="104" customHeight="1">
      <x:c r="A51" s="40" t="str">
        <x:v>TC-DBG-02-03</x:v>
      </x:c>
      <x:c r="B51" s="40" t="str">
        <x:v>设备调试</x:v>
      </x:c>
      <x:c r="C51" s="40" t="str">
        <x:v>P0</x:v>
      </x:c>
      <x:c r="D51" s="40" t="str">
        <x:v>合法重载保留完整快照</x:v>
      </x:c>
      <x:c r="E51" s="40" t="str">
        <x:v>E4 模拟器或授权实验室设备</x:v>
      </x:c>
      <x:c r="F51" s="40" t="str">
        <x:v>固定 DTS 工具链、基线、桥能力与设备租约；真机单独记录环境。
准备可部署 overlay 与合法权限、确认。</x:v>
      </x:c>
      <x:c r="G51" s="40" t="str">
        <x:v>1. 预检并部署
2. 检查摘要、完整性和可用内核证据</x:v>
      </x:c>
      <x:c r="H51" s="40" t="str">
        <x:v>运行和快照可追踪；参数库不被普通调试修改；不凭文件传输宣称行为已验证。</x:v>
      </x:c>
      <x:c r="I51" s="40" t="str">
        <x:v>恢复设备基线；失败保留残留与产物，交由该运行所有者处理。</x:v>
      </x:c>
      <x:c r="J51" s="40" t="str">
        <x:v>TDES-DBG-02</x:v>
      </x:c>
      <x:c r="K51" s="40" t="str">
        <x:v>SRC-11</x:v>
      </x:c>
    </x:row>
    <x:row r="52" ht="104" customHeight="1">
      <x:c r="A52" s="40" t="str">
        <x:v>TC-DBG-02-04</x:v>
      </x:c>
      <x:c r="B52" s="40" t="str">
        <x:v>设备调试</x:v>
      </x:c>
      <x:c r="C52" s="40" t="str">
        <x:v>P0</x:v>
      </x:c>
      <x:c r="D52" s="40" t="str">
        <x:v>不可观测状态保持 unverifiable</x:v>
      </x:c>
      <x:c r="E52" s="40" t="str">
        <x:v>E4 模拟器或授权实验室设备</x:v>
      </x:c>
      <x:c r="F52" s="40" t="str">
        <x:v>固定 DTS 工具链、基线、桥能力与设备租约；真机单独记录环境。
桥可以传输但不能提供充分行为证明。</x:v>
      </x:c>
      <x:c r="G52" s="40" t="str">
        <x:v>1. 完成部署
2. 读取验证结论</x:v>
      </x:c>
      <x:c r="H52" s="40" t="str">
        <x:v>保持 unverifiable 和证据缺口；不误标为真机行为成功。</x:v>
      </x:c>
      <x:c r="I52" s="40" t="str">
        <x:v>恢复设备基线；失败保留残留与产物，交由该运行所有者处理。</x:v>
      </x:c>
      <x:c r="J52" s="40" t="str">
        <x:v>TDES-DBG-02</x:v>
      </x:c>
      <x:c r="K52" s="40" t="str">
        <x:v>SRC-11</x:v>
      </x:c>
    </x:row>
    <x:row r="53" ht="104" customHeight="1">
      <x:c r="A53" s="40" t="str">
        <x:v>TC-DBG-02-05</x:v>
      </x:c>
      <x:c r="B53" s="40" t="str">
        <x:v>设备调试</x:v>
      </x:c>
      <x:c r="C53" s="40" t="str">
        <x:v>P0</x:v>
      </x:c>
      <x:c r="D53" s="40" t="str">
        <x:v>恢复失败保留残留</x:v>
      </x:c>
      <x:c r="E53" s="40" t="str">
        <x:v>E4 模拟器或授权实验室设备</x:v>
      </x:c>
      <x:c r="F53" s="40" t="str">
        <x:v>固定 DTS 工具链、基线、桥能力与设备租约；真机单独记录环境。
已有部署记录，注入恢复失败。</x:v>
      </x:c>
      <x:c r="G53" s="40" t="str">
        <x:v>1. 执行恢复基线
2. 检查新的恢复运行与残留</x:v>
      </x:c>
      <x:c r="H53" s="40" t="str">
        <x:v>恢复失败独立记录；残留及错误证据不被清除或改为成功。</x:v>
      </x:c>
      <x:c r="I53" s="40" t="str">
        <x:v>恢复设备基线；失败保留残留与产物，交由该运行所有者处理。</x:v>
      </x:c>
      <x:c r="J53" s="40" t="str">
        <x:v>TDES-DBG-02</x:v>
      </x:c>
      <x:c r="K53" s="40" t="str">
        <x:v>SRC-11</x:v>
      </x:c>
    </x:row>
    <x:row r="54" ht="104" customHeight="1">
      <x:c r="A54" s="40" t="str">
        <x:v>TC-DBG-02-06</x:v>
      </x:c>
      <x:c r="B54" s="40" t="str">
        <x:v>设备调试</x:v>
      </x:c>
      <x:c r="C54" s="40" t="str">
        <x:v>P0</x:v>
      </x:c>
      <x:c r="D54" s="40" t="str">
        <x:v>敏感及 Agent 来源门禁</x:v>
      </x:c>
      <x:c r="E54" s="40" t="str">
        <x:v>E4 模拟器或授权实验室设备</x:v>
      </x:c>
      <x:c r="F54" s="40" t="str">
        <x:v>固定 DTS 工具链、基线、桥能力与设备租约；真机单独记录环境。
敏感节点、受控 Agent 路径与伪造客户端来源。</x:v>
      </x:c>
      <x:c r="G54" s="40" t="str">
        <x:v>1. 缺少额外权限或确认时请求部署
2. 尝试自报 user 来源</x:v>
      </x:c>
      <x:c r="H54" s="40" t="str">
        <x:v>服务端可信来源和敏感策略生效；无设备变更，审批不改写 Agent 来源。</x:v>
      </x:c>
      <x:c r="I54" s="40" t="str">
        <x:v>恢复设备基线；失败保留残留与产物，交由该运行所有者处理。</x:v>
      </x:c>
      <x:c r="J54" s="40" t="str">
        <x:v>TDES-DBG-02</x:v>
      </x:c>
      <x:c r="K54" s="40" t="str">
        <x:v>SRC-11</x:v>
      </x:c>
    </x:row>
    <x:row r="55" ht="104" customHeight="1">
      <x:c r="A55" s="40" t="str">
        <x:v>TC-AUTH-01-01</x:v>
      </x:c>
      <x:c r="B55" s="40" t="str">
        <x:v>身份与安全</x:v>
      </x:c>
      <x:c r="C55" s="40" t="str">
        <x:v>P0</x:v>
      </x:c>
      <x:c r="D55" s="40" t="str">
        <x:v>未认证请求被拒绝</x:v>
      </x:c>
      <x:c r="E55" s="40" t="str">
        <x:v>E1 API；OIDC 变体使用 E5</x:v>
      </x:c>
      <x:c r="F55" s="40" t="str">
        <x:v>两组织账号、不同数据库角色及停用用户。
不携带有效会话或 bearer token。</x:v>
      </x:c>
      <x:c r="G55" s="40" t="str">
        <x:v>1. 请求受保护业务接口
2. 尝试写入</x:v>
      </x:c>
      <x:c r="H55" s="40" t="str">
        <x:v>返回未认证响应；无业务数据泄漏或写入。</x:v>
      </x:c>
      <x:c r="I55" s="40" t="str">
        <x:v>恢复本轮角色与配置，撤销测试会话。</x:v>
      </x:c>
      <x:c r="J55" s="40" t="str">
        <x:v>TDES-AUTH-01</x:v>
      </x:c>
      <x:c r="K55" s="40" t="str">
        <x:v>SRC-12</x:v>
      </x:c>
    </x:row>
    <x:row r="56" ht="104" customHeight="1">
      <x:c r="A56" s="40" t="str">
        <x:v>TC-AUTH-01-02</x:v>
      </x:c>
      <x:c r="B56" s="40" t="str">
        <x:v>身份与安全</x:v>
      </x:c>
      <x:c r="C56" s="40" t="str">
        <x:v>P0</x:v>
      </x:c>
      <x:c r="D56" s="40" t="str">
        <x:v>组织隔离与角色限制</x:v>
      </x:c>
      <x:c r="E56" s="40" t="str">
        <x:v>E1 API；OIDC 变体使用 E5</x:v>
      </x:c>
      <x:c r="F56" s="40" t="str">
        <x:v>两组织账号、不同数据库角色及停用用户。
以组织 A 只读身份，准备 B 对象 ID。</x:v>
      </x:c>
      <x:c r="G56" s="40" t="str">
        <x:v>1. 读取 B 对象
2. 尝试 A 范围管理写入</x:v>
      </x:c>
      <x:c r="H56" s="40" t="str">
        <x:v>跨组织事实不泄漏；缺失权限的操作被拒绝。</x:v>
      </x:c>
      <x:c r="I56" s="40" t="str">
        <x:v>恢复本轮角色与配置，撤销测试会话。</x:v>
      </x:c>
      <x:c r="J56" s="40" t="str">
        <x:v>TDES-AUTH-01</x:v>
      </x:c>
      <x:c r="K56" s="40" t="str">
        <x:v>SRC-12</x:v>
      </x:c>
    </x:row>
    <x:row r="57" ht="104" customHeight="1">
      <x:c r="A57" s="40" t="str">
        <x:v>TC-AUTH-01-03</x:v>
      </x:c>
      <x:c r="B57" s="40" t="str">
        <x:v>身份与安全</x:v>
      </x:c>
      <x:c r="C57" s="40" t="str">
        <x:v>P0</x:v>
      </x:c>
      <x:c r="D57" s="40" t="str">
        <x:v>账号停用撤销访问</x:v>
      </x:c>
      <x:c r="E57" s="40" t="str">
        <x:v>E1 API；OIDC 变体使用 E5</x:v>
      </x:c>
      <x:c r="F57" s="40" t="str">
        <x:v>两组织账号、不同数据库角色及停用用户。
先建立有效会话，再在数据库停用账号。</x:v>
      </x:c>
      <x:c r="G57" s="40" t="str">
        <x:v>1. 使用原会话请求读写业务
2. 检查结果</x:v>
      </x:c>
      <x:c r="H57" s="40" t="str">
        <x:v>当前用户状态重新校验；停用后不能继续业务访问。</x:v>
      </x:c>
      <x:c r="I57" s="40" t="str">
        <x:v>恢复本轮角色与配置，撤销测试会话。</x:v>
      </x:c>
      <x:c r="J57" s="40" t="str">
        <x:v>TDES-AUTH-01</x:v>
      </x:c>
      <x:c r="K57" s="40" t="str">
        <x:v>SRC-12</x:v>
      </x:c>
    </x:row>
    <x:row r="58" ht="104" customHeight="1">
      <x:c r="A58" s="40" t="str">
        <x:v>TC-AUTH-01-04</x:v>
      </x:c>
      <x:c r="B58" s="40" t="str">
        <x:v>身份与安全</x:v>
      </x:c>
      <x:c r="C58" s="40" t="str">
        <x:v>P0</x:v>
      </x:c>
      <x:c r="D58" s="40" t="str">
        <x:v>OIDC 令牌逐项校验</x:v>
      </x:c>
      <x:c r="E58" s="40" t="str">
        <x:v>E1 API；OIDC 变体使用 E5</x:v>
      </x:c>
      <x:c r="F58" s="40" t="str">
        <x:v>两组织账号、不同数据库角色及停用用户。
E5 中分别准备错误 issuer、audience、过期、无效签名；另备有效令牌对照。</x:v>
      </x:c>
      <x:c r="G58" s="40" t="str">
        <x:v>1. 逐个请求受保护 API
2. 记录每项响应
3. 执行有效对照</x:v>
      </x:c>
      <x:c r="H58" s="40" t="str">
        <x:v>各非法令牌被拒绝；有效令牌仍按数据库角色授权，不能依令牌自封管理员。</x:v>
      </x:c>
      <x:c r="I58" s="40" t="str">
        <x:v>恢复本轮角色与配置，撤销测试会话。</x:v>
      </x:c>
      <x:c r="J58" s="40" t="str">
        <x:v>TDES-AUTH-01</x:v>
      </x:c>
      <x:c r="K58" s="40" t="str">
        <x:v>SRC-12</x:v>
      </x:c>
    </x:row>
    <x:row r="59" ht="104" customHeight="1">
      <x:c r="A59" s="40" t="str">
        <x:v>TC-AUTH-02-01</x:v>
      </x:c>
      <x:c r="B59" s="40" t="str">
        <x:v>身份与安全</x:v>
      </x:c>
      <x:c r="C59" s="40" t="str">
        <x:v>P0</x:v>
      </x:c>
      <x:c r="D59" s="40" t="str">
        <x:v>非管理员及自删拒绝</x:v>
      </x:c>
      <x:c r="E59" s="40" t="str">
        <x:v>E1 真实 PostgreSQL</x:v>
      </x:c>
      <x:c r="F59" s="40" t="str">
        <x:v>目标账号具备会话、凭据、草稿、业务历史和 Agent 关联。
分别使用普通用户和待自删管理员。</x:v>
      </x:c>
      <x:c r="G59" s="40" t="str">
        <x:v>1. 尝试删除目标或自身
2. 重新查询账号和历史</x:v>
      </x:c>
      <x:c r="H59" s="40" t="str">
        <x:v>请求被拒绝；账号及关联数据未被部分删除。</x:v>
      </x:c>
      <x:c r="I59" s="40" t="str">
        <x:v>清理专属身份数据；不恢复或重写共享历史。</x:v>
      </x:c>
      <x:c r="J59" s="40" t="str">
        <x:v>TDES-AUTH-02</x:v>
      </x:c>
      <x:c r="K59" s="40" t="str">
        <x:v>SRC-13</x:v>
      </x:c>
    </x:row>
    <x:row r="60" ht="104" customHeight="1">
      <x:c r="A60" s="40" t="str">
        <x:v>TC-AUTH-02-02</x:v>
      </x:c>
      <x:c r="B60" s="40" t="str">
        <x:v>身份与安全</x:v>
      </x:c>
      <x:c r="C60" s="40" t="str">
        <x:v>P0</x:v>
      </x:c>
      <x:c r="D60" s="40" t="str">
        <x:v>受保护平台管理员不可越权删除</x:v>
      </x:c>
      <x:c r="E60" s="40" t="str">
        <x:v>E1 真实 PostgreSQL</x:v>
      </x:c>
      <x:c r="F60" s="40" t="str">
        <x:v>目标账号具备会话、凭据、草稿、业务历史和 Agent 关联。
准备策略禁止当前调用者删除的平台管理员。</x:v>
      </x:c>
      <x:c r="G60" s="40" t="str">
        <x:v>1. 执行删除
2. 核查账号、角色与会话</x:v>
      </x:c>
      <x:c r="H60" s="40" t="str">
        <x:v>删除被授权策略拒绝；受保护身份保持有效。</x:v>
      </x:c>
      <x:c r="I60" s="40" t="str">
        <x:v>清理专属身份数据；不恢复或重写共享历史。</x:v>
      </x:c>
      <x:c r="J60" s="40" t="str">
        <x:v>TDES-AUTH-02</x:v>
      </x:c>
      <x:c r="K60" s="40" t="str">
        <x:v>SRC-13</x:v>
      </x:c>
    </x:row>
    <x:row r="61" ht="104" customHeight="1">
      <x:c r="A61" s="40" t="str">
        <x:v>TC-AUTH-02-03</x:v>
      </x:c>
      <x:c r="B61" s="40" t="str">
        <x:v>身份与安全</x:v>
      </x:c>
      <x:c r="C61" s="40" t="str">
        <x:v>P0</x:v>
      </x:c>
      <x:c r="D61" s="40" t="str">
        <x:v>合法删除与历史保留</x:v>
      </x:c>
      <x:c r="E61" s="40" t="str">
        <x:v>E1 真实 PostgreSQL</x:v>
      </x:c>
      <x:c r="F61" s="40" t="str">
        <x:v>目标账号具备会话、凭据、草稿、业务历史和 Agent 关联。
使用被允许的管理身份，记录关联行数。</x:v>
      </x:c>
      <x:c r="G61" s="40" t="str">
        <x:v>1. 删除目标
2. 检查 204
3. 查询级联、可空引用和 Agent 元数据</x:v>
      </x:c>
      <x:c r="H61" s="40" t="str">
        <x:v>账号拥有数据按契约清理；保留业务历史不重建主体，可信关联保留，无多余个人信息。</x:v>
      </x:c>
      <x:c r="I61" s="40" t="str">
        <x:v>清理专属身份数据；不恢复或重写共享历史。</x:v>
      </x:c>
      <x:c r="J61" s="40" t="str">
        <x:v>TDES-AUTH-02</x:v>
      </x:c>
      <x:c r="K61" s="40" t="str">
        <x:v>SRC-13</x:v>
      </x:c>
    </x:row>
    <x:row r="62" ht="104" customHeight="1">
      <x:c r="A62" s="40" t="str">
        <x:v>TC-AGENT-01-01</x:v>
      </x:c>
      <x:c r="B62" s="40" t="str">
        <x:v>小泽助手</x:v>
      </x:c>
      <x:c r="C62" s="40" t="str">
        <x:v>P0</x:v>
      </x:c>
      <x:c r="D62" s="40" t="str">
        <x:v>读工具按范围执行</x:v>
      </x:c>
      <x:c r="E62" s="40" t="str">
        <x:v>E1 API + 确定性 Agent</x:v>
      </x:c>
      <x:c r="F62" s="40" t="str">
        <x:v>用户具备适用业务权限；启用审批与审计记录。
分别准备可读与不可读对象。</x:v>
      </x:c>
      <x:c r="G62" s="40" t="str">
        <x:v>1. 请求读取各对象
2. 检查工具结果</x:v>
      </x:c>
      <x:c r="H62" s="40" t="str">
        <x:v>只返回当前授权范围数据；读取请求不产生写副作用。</x:v>
      </x:c>
      <x:c r="I62" s="40" t="str">
        <x:v>清理本轮会话、审批与业务测试数据。</x:v>
      </x:c>
      <x:c r="J62" s="40" t="str">
        <x:v>TDES-AGENT-01</x:v>
      </x:c>
      <x:c r="K62" s="40" t="str">
        <x:v>SRC-14</x:v>
      </x:c>
    </x:row>
    <x:row r="63" ht="104" customHeight="1">
      <x:c r="A63" s="40" t="str">
        <x:v>TC-AGENT-01-02</x:v>
      </x:c>
      <x:c r="B63" s="40" t="str">
        <x:v>小泽助手</x:v>
      </x:c>
      <x:c r="C63" s="40" t="str">
        <x:v>P0</x:v>
      </x:c>
      <x:c r="D63" s="40" t="str">
        <x:v>待审批和拒绝均不变更</x:v>
      </x:c>
      <x:c r="E63" s="40" t="str">
        <x:v>E1 API + 确定性 Agent</x:v>
      </x:c>
      <x:c r="F63" s="40" t="str">
        <x:v>用户具备适用业务权限；启用审批与审计记录。
准备有效变更意图并记录业务原状态。</x:v>
      </x:c>
      <x:c r="G63" s="40" t="str">
        <x:v>1. 触发写工具至待审批
2. 查询状态
3. 拒绝
4. 再次查询</x:v>
      </x:c>
      <x:c r="H63" s="40" t="str">
        <x:v>待审批与拒绝后均无业务变更；审批结果和工具记录持久化。</x:v>
      </x:c>
      <x:c r="I63" s="40" t="str">
        <x:v>清理本轮会话、审批与业务测试数据。</x:v>
      </x:c>
      <x:c r="J63" s="40" t="str">
        <x:v>TDES-AGENT-01</x:v>
      </x:c>
      <x:c r="K63" s="40" t="str">
        <x:v>SRC-14</x:v>
      </x:c>
    </x:row>
    <x:row r="64" ht="104" customHeight="1">
      <x:c r="A64" s="40" t="str">
        <x:v>TC-AGENT-01-03</x:v>
      </x:c>
      <x:c r="B64" s="40" t="str">
        <x:v>小泽助手</x:v>
      </x:c>
      <x:c r="C64" s="40" t="str">
        <x:v>P0</x:v>
      </x:c>
      <x:c r="D64" s="40" t="str">
        <x:v>审批后仅执行一次</x:v>
      </x:c>
      <x:c r="E64" s="40" t="str">
        <x:v>E1 API + 确定性 Agent</x:v>
      </x:c>
      <x:c r="F64" s="40" t="str">
        <x:v>用户具备适用业务权限；启用审批与审计记录。
准备一个待批准动作。</x:v>
      </x:c>
      <x:c r="G64" s="40" t="str">
        <x:v>1. 批准
2. 重复发送同一批准
3. 查询业务行数与审计</x:v>
      </x:c>
      <x:c r="H64" s="40" t="str">
        <x:v>合法动作执行一次；重复批准不重复写入，Agent 会话与调用来源保持关联。</x:v>
      </x:c>
      <x:c r="I64" s="40" t="str">
        <x:v>清理本轮会话、审批与业务测试数据。</x:v>
      </x:c>
      <x:c r="J64" s="40" t="str">
        <x:v>TDES-AGENT-01</x:v>
      </x:c>
      <x:c r="K64" s="40" t="str">
        <x:v>SRC-14</x:v>
      </x:c>
    </x:row>
    <x:row r="65" ht="104" customHeight="1">
      <x:c r="A65" s="40" t="str">
        <x:v>TC-AGENT-01-04</x:v>
      </x:c>
      <x:c r="B65" s="40" t="str">
        <x:v>小泽助手</x:v>
      </x:c>
      <x:c r="C65" s="40" t="str">
        <x:v>P0</x:v>
      </x:c>
      <x:c r="D65" s="40" t="str">
        <x:v>批准前撤权或改参数重校验</x:v>
      </x:c>
      <x:c r="E65" s="40" t="str">
        <x:v>E1 API + 确定性 Agent</x:v>
      </x:c>
      <x:c r="F65" s="40" t="str">
        <x:v>用户具备适用业务权限；启用审批与审计记录。
分别准备撤权与参数变更变体。</x:v>
      </x:c>
      <x:c r="G65" s="40" t="str">
        <x:v>1. 生成审批
2. 撤销权限或修改参数范围
3. 批准</x:v>
      </x:c>
      <x:c r="H65" s="40" t="str">
        <x:v>resolveApproval 检查当前权限及参数；非法动作被拒绝，无业务副作用。</x:v>
      </x:c>
      <x:c r="I65" s="40" t="str">
        <x:v>清理本轮会话、审批与业务测试数据。</x:v>
      </x:c>
      <x:c r="J65" s="40" t="str">
        <x:v>TDES-AGENT-01</x:v>
      </x:c>
      <x:c r="K65" s="40" t="str">
        <x:v>SRC-14</x:v>
      </x:c>
    </x:row>
    <x:row r="66" ht="104" customHeight="1">
      <x:c r="A66" s="40" t="str">
        <x:v>TC-AGENT-02-01</x:v>
      </x:c>
      <x:c r="B66" s="40" t="str">
        <x:v>小泽助手</x:v>
      </x:c>
      <x:c r="C66" s="40" t="str">
        <x:v>P0</x:v>
      </x:c>
      <x:c r="D66" s="40" t="str">
        <x:v>新实例读取中断并恢复</x:v>
      </x:c>
      <x:c r="E66" s="40" t="str">
        <x:v>E1 真实 PostgreSQL 检查点</x:v>
      </x:c>
      <x:c r="F66" s="40" t="str">
        <x:v>持久检查点、审批中断、独立存储实例；审批解析器可为确定性假实现。
使用 PostgreSQL 检查点存储，禁止以内存替代。</x:v>
      </x:c>
      <x:c r="G66" s="40" t="str">
        <x:v>1. 运行至审批中断
2. 新建独立实例
3. 读取并恢复该检查点</x:v>
      </x:c>
      <x:c r="H66" s="40" t="str">
        <x:v>新实例可恢复执行状态；记录使用的假审批解析器，不将本例等同完整审批端到端通过。</x:v>
      </x:c>
      <x:c r="I66" s="40" t="str">
        <x:v>关闭实例并清理本轮检查点和审批。</x:v>
      </x:c>
      <x:c r="J66" s="40" t="str">
        <x:v>TDES-AGENT-02</x:v>
      </x:c>
      <x:c r="K66" s="40" t="str">
        <x:v>SRC-15</x:v>
      </x:c>
    </x:row>
    <x:row r="67" ht="104" customHeight="1">
      <x:c r="A67" s="40" t="str">
        <x:v>TC-AGENT-02-02</x:v>
      </x:c>
      <x:c r="B67" s="40" t="str">
        <x:v>小泽助手</x:v>
      </x:c>
      <x:c r="C67" s="40" t="str">
        <x:v>P0</x:v>
      </x:c>
      <x:c r="D67" s="40" t="str">
        <x:v>恢复接口重新认证授权</x:v>
      </x:c>
      <x:c r="E67" s="40" t="str">
        <x:v>E1 真实 PostgreSQL 检查点</x:v>
      </x:c>
      <x:c r="F67" s="40" t="str">
        <x:v>持久检查点、审批中断、独立存储实例；审批解析器可为确定性假实现。
准备原用户恢复请求与跨组织或已撤权身份。</x:v>
      </x:c>
      <x:c r="G67" s="40" t="str">
        <x:v>1. 以各身份调用恢复端点
2. 检查输出及工具调用</x:v>
      </x:c>
      <x:c r="H67" s="40" t="str">
        <x:v>恢复时重新建立当前授权；跨组织与撤权身份不能凭图状态执行或读取。</x:v>
      </x:c>
      <x:c r="I67" s="40" t="str">
        <x:v>关闭实例并清理本轮检查点和审批。</x:v>
      </x:c>
      <x:c r="J67" s="40" t="str">
        <x:v>TDES-AGENT-02</x:v>
      </x:c>
      <x:c r="K67" s="40" t="str">
        <x:v>SRC-15</x:v>
      </x:c>
    </x:row>
    <x:row r="68" ht="104" customHeight="1">
      <x:c r="A68" s="40" t="str">
        <x:v>TC-KB-01-01</x:v>
      </x:c>
      <x:c r="B68" s="40" t="str">
        <x:v>知识库</x:v>
      </x:c>
      <x:c r="C68" s="40" t="str">
        <x:v>P1</x:v>
      </x:c>
      <x:c r="D68" s="40" t="str">
        <x:v>发布后检索与引用可追溯</x:v>
      </x:c>
      <x:c r="E68" s="40" t="str">
        <x:v>E1 API + 索引 worker</x:v>
      </x:c>
      <x:c r="F68" s="40" t="str">
        <x:v>两组织知识条目与明确修订；准备草稿、已发布、归档状态。
准备有已知文本的草稿。</x:v>
      </x:c>
      <x:c r="G68" s="40" t="str">
        <x:v>1. 发布
2. 等待索引或读取状态
3. 检索并打开引用</x:v>
      </x:c>
      <x:c r="H68" s="40" t="str">
        <x:v>返回可读已发布内容；引用与修订背景匹配，不错引其他版本。</x:v>
      </x:c>
      <x:c r="I68" s="40" t="str">
        <x:v>清理本轮条目、对象与索引任务。</x:v>
      </x:c>
      <x:c r="J68" s="40" t="str">
        <x:v>TDES-KB-01</x:v>
      </x:c>
      <x:c r="K68" s="40" t="str">
        <x:v>SRC-16</x:v>
      </x:c>
    </x:row>
    <x:row r="69" ht="104" customHeight="1">
      <x:c r="A69" s="40" t="str">
        <x:v>TC-KB-01-02</x:v>
      </x:c>
      <x:c r="B69" s="40" t="str">
        <x:v>知识库</x:v>
      </x:c>
      <x:c r="C69" s="40" t="str">
        <x:v>P0</x:v>
      </x:c>
      <x:c r="D69" s="40" t="str">
        <x:v>草稿归档与跨组织内容不泄漏</x:v>
      </x:c>
      <x:c r="E69" s="40" t="str">
        <x:v>E1 API + 索引 worker</x:v>
      </x:c>
      <x:c r="F69" s="40" t="str">
        <x:v>两组织知识条目与明确修订；准备草稿、已发布、归档状态。
准备多个状态及另一组织条目。</x:v>
      </x:c>
      <x:c r="G69" s="40" t="str">
        <x:v>1. 执行搜索和 Agent 引用
2. 归档已发布条目后重试</x:v>
      </x:c>
      <x:c r="H69" s="40" t="str">
        <x:v>只返回当前授权且已发布内容；域关联不能保留已失效读权限。</x:v>
      </x:c>
      <x:c r="I69" s="40" t="str">
        <x:v>清理本轮条目、对象与索引任务。</x:v>
      </x:c>
      <x:c r="J69" s="40" t="str">
        <x:v>TDES-KB-01</x:v>
      </x:c>
      <x:c r="K69" s="40" t="str">
        <x:v>SRC-16</x:v>
      </x:c>
    </x:row>
    <x:row r="70" ht="104" customHeight="1">
      <x:c r="A70" s="40" t="str">
        <x:v>TC-KB-01-03</x:v>
      </x:c>
      <x:c r="B70" s="40" t="str">
        <x:v>知识库</x:v>
      </x:c>
      <x:c r="C70" s="40" t="str">
        <x:v>P1</x:v>
      </x:c>
      <x:c r="D70" s="40" t="str">
        <x:v>嵌入不可用回退全文</x:v>
      </x:c>
      <x:c r="E70" s="40" t="str">
        <x:v>E1 API + 索引 worker</x:v>
      </x:c>
      <x:c r="F70" s="40" t="str">
        <x:v>两组织知识条目与明确修订；准备草稿、已发布、归档状态。
隔离框架令嵌入或向量能力不可用。</x:v>
      </x:c>
      <x:c r="G70" s="40" t="str">
        <x:v>1. 检索已发布文本
2. 查看检索模式</x:v>
      </x:c>
      <x:c r="H70" s="40" t="str">
        <x:v>明确 fts_only；全文结果符合权限及发布状态，不伪造向量成功。</x:v>
      </x:c>
      <x:c r="I70" s="40" t="str">
        <x:v>清理本轮条目、对象与索引任务。</x:v>
      </x:c>
      <x:c r="J70" s="40" t="str">
        <x:v>TDES-KB-01</x:v>
      </x:c>
      <x:c r="K70" s="40" t="str">
        <x:v>SRC-16</x:v>
      </x:c>
    </x:row>
    <x:row r="71" ht="104" customHeight="1">
      <x:c r="A71" s="40" t="str">
        <x:v>TC-KB-01-04</x:v>
      </x:c>
      <x:c r="B71" s="40" t="str">
        <x:v>知识库</x:v>
      </x:c>
      <x:c r="C71" s="40" t="str">
        <x:v>P1</x:v>
      </x:c>
      <x:c r="D71" s="40" t="str">
        <x:v>索引失败可恢复</x:v>
      </x:c>
      <x:c r="E71" s="40" t="str">
        <x:v>E1 API + 索引 worker</x:v>
      </x:c>
      <x:c r="F71" s="40" t="str">
        <x:v>两组织知识条目与明确修订；准备草稿、已发布、归档状态。
注入一次索引失败后恢复依赖。</x:v>
      </x:c>
      <x:c r="G71" s="40" t="str">
        <x:v>1. 发布或编辑触发索引
2. 检查失败
3. 重试并检索</x:v>
      </x:c>
      <x:c r="H71" s="40" t="str">
        <x:v>索引状态与业务发布分开；失败可追踪，恢复后无重复或过期分块。</x:v>
      </x:c>
      <x:c r="I71" s="40" t="str">
        <x:v>清理本轮条目、对象与索引任务。</x:v>
      </x:c>
      <x:c r="J71" s="40" t="str">
        <x:v>TDES-KB-01</x:v>
      </x:c>
      <x:c r="K71" s="40" t="str">
        <x:v>SRC-16</x:v>
      </x:c>
    </x:row>
    <x:row r="72" ht="104" customHeight="1">
      <x:c r="A72" s="40" t="str">
        <x:v>TC-FEEDBACK-01-01</x:v>
      </x:c>
      <x:c r="B72" s="40" t="str">
        <x:v>反馈</x:v>
      </x:c>
      <x:c r="C72" s="40" t="str">
        <x:v>P1</x:v>
      </x:c>
      <x:c r="D72" s="40" t="str">
        <x:v>提交反馈及图片持久化</x:v>
      </x:c>
      <x:c r="E72" s="40" t="str">
        <x:v>E1 API + 对象存储</x:v>
      </x:c>
      <x:c r="F72" s="40" t="str">
        <x:v>启用用户、管理员和允许的测试图片。
准备唯一反馈文本及非敏感图片。</x:v>
      </x:c>
      <x:c r="G72" s="40" t="str">
        <x:v>1. 从侧栏提交
2. 刷新
3. 管理员打开反馈</x:v>
      </x:c>
      <x:c r="H72" s="40" t="str">
        <x:v>文本、页面上下文和附件可读取且属于正确组织。</x:v>
      </x:c>
      <x:c r="I72" s="40" t="str">
        <x:v>清理本轮反馈及附件对象。</x:v>
      </x:c>
      <x:c r="J72" s="40" t="str">
        <x:v>TDES-FEEDBACK-01</x:v>
      </x:c>
      <x:c r="K72" s="40" t="str">
        <x:v>SRC-17</x:v>
      </x:c>
    </x:row>
    <x:row r="73" ht="104" customHeight="1">
      <x:c r="A73" s="40" t="str">
        <x:v>TC-FEEDBACK-01-02</x:v>
      </x:c>
      <x:c r="B73" s="40" t="str">
        <x:v>反馈</x:v>
      </x:c>
      <x:c r="C73" s="40" t="str">
        <x:v>P1</x:v>
      </x:c>
      <x:c r="D73" s="40" t="str">
        <x:v>管理员处理状态持久化</x:v>
      </x:c>
      <x:c r="E73" s="40" t="str">
        <x:v>E1 API + 对象存储</x:v>
      </x:c>
      <x:c r="F73" s="40" t="str">
        <x:v>启用用户、管理员和允许的测试图片。
准备本轮 open 反馈。</x:v>
      </x:c>
      <x:c r="G73" s="40" t="str">
        <x:v>1. 改为 in_progress 并添加备注
2. 改为 closed
3. 刷新</x:v>
      </x:c>
      <x:c r="H73" s="40" t="str">
        <x:v>各状态和备注保存；处理历史可追踪。</x:v>
      </x:c>
      <x:c r="I73" s="40" t="str">
        <x:v>清理本轮反馈及附件对象。</x:v>
      </x:c>
      <x:c r="J73" s="40" t="str">
        <x:v>TDES-FEEDBACK-01</x:v>
      </x:c>
      <x:c r="K73" s="40" t="str">
        <x:v>SRC-17</x:v>
      </x:c>
    </x:row>
    <x:row r="74" ht="104" customHeight="1">
      <x:c r="A74" s="40" t="str">
        <x:v>TC-FEEDBACK-01-03</x:v>
      </x:c>
      <x:c r="B74" s="40" t="str">
        <x:v>反馈</x:v>
      </x:c>
      <x:c r="C74" s="40" t="str">
        <x:v>P0</x:v>
      </x:c>
      <x:c r="D74" s="40" t="str">
        <x:v>普通用户不可管理反馈</x:v>
      </x:c>
      <x:c r="E74" s="40" t="str">
        <x:v>E1 API + 对象存储</x:v>
      </x:c>
      <x:c r="F74" s="40" t="str">
        <x:v>启用用户、管理员和允许的测试图片。
准备普通身份及其他组织反馈、附件 ID。</x:v>
      </x:c>
      <x:c r="G74" s="40" t="str">
        <x:v>1. 尝试管理操作
2. 请求越界反馈及附件</x:v>
      </x:c>
      <x:c r="H74" s="40" t="str">
        <x:v>服务端拒绝非法管理和读取；反馈状态不变，附件不泄漏。</x:v>
      </x:c>
      <x:c r="I74" s="40" t="str">
        <x:v>清理本轮反馈及附件对象。</x:v>
      </x:c>
      <x:c r="J74" s="40" t="str">
        <x:v>TDES-FEEDBACK-01</x:v>
      </x:c>
      <x:c r="K74" s="40" t="str">
        <x:v>SRC-17</x:v>
      </x:c>
    </x:row>
    <x:row r="75" ht="104" customHeight="1">
      <x:c r="A75" s="40" t="str">
        <x:v>TC-NOTIF-01-01</x:v>
      </x:c>
      <x:c r="B75" s="40" t="str">
        <x:v>通知</x:v>
      </x:c>
      <x:c r="C75" s="40" t="str">
        <x:v>P1</x:v>
      </x:c>
      <x:c r="D75" s="40" t="str">
        <x:v>已读与未读数持久化</x:v>
      </x:c>
      <x:c r="E75" s="40" t="str">
        <x:v>E1 API + PostgreSQL</x:v>
      </x:c>
      <x:c r="F75" s="40" t="str">
        <x:v>两用户通知及可访问、不可访问业务目标。
准备已知数量未读通知。</x:v>
      </x:c>
      <x:c r="G75" s="40" t="str">
        <x:v>1. 打开收件箱
2. 标记一条已读
3. 刷新</x:v>
      </x:c>
      <x:c r="H75" s="40" t="str">
        <x:v>未读数准确减少，已读状态持久化且重复标记不多减。</x:v>
      </x:c>
      <x:c r="I75" s="40" t="str">
        <x:v>清理本轮通知与业务数据。</x:v>
      </x:c>
      <x:c r="J75" s="40" t="str">
        <x:v>TDES-NOTIF-01</x:v>
      </x:c>
      <x:c r="K75" s="40" t="str">
        <x:v>SRC-18</x:v>
      </x:c>
    </x:row>
    <x:row r="76" ht="104" customHeight="1">
      <x:c r="A76" s="40" t="str">
        <x:v>TC-NOTIF-01-02</x:v>
      </x:c>
      <x:c r="B76" s="40" t="str">
        <x:v>通知</x:v>
      </x:c>
      <x:c r="C76" s="40" t="str">
        <x:v>P0</x:v>
      </x:c>
      <x:c r="D76" s="40" t="str">
        <x:v>通知与深链接按用户授权</x:v>
      </x:c>
      <x:c r="E76" s="40" t="str">
        <x:v>E1 API + PostgreSQL</x:v>
      </x:c>
      <x:c r="F76" s="40" t="str">
        <x:v>两用户通知及可访问、不可访问业务目标。
准备另一用户通知和已撤权目标。</x:v>
      </x:c>
      <x:c r="G76" s="40" t="str">
        <x:v>1. 读取或标记他人通知
2. 打开已撤权目标链接</x:v>
      </x:c>
      <x:c r="H76" s="40" t="str">
        <x:v>通知范围不越界；深链接仍检查业务权限，不以通知作为访问凭据。</x:v>
      </x:c>
      <x:c r="I76" s="40" t="str">
        <x:v>清理本轮通知与业务数据。</x:v>
      </x:c>
      <x:c r="J76" s="40" t="str">
        <x:v>TDES-NOTIF-01</x:v>
      </x:c>
      <x:c r="K76" s="40" t="str">
        <x:v>SRC-18</x:v>
      </x:c>
    </x:row>
    <x:row r="77" ht="104" customHeight="1">
      <x:c r="A77" s="40" t="str">
        <x:v>TC-UI-01-01</x:v>
      </x:c>
      <x:c r="B77" s="40" t="str">
        <x:v>界面与导航</x:v>
      </x:c>
      <x:c r="C77" s="40" t="str">
        <x:v>P1</x:v>
      </x:c>
      <x:c r="D77" s="40" t="str">
        <x:v>导航与深链接一致</x:v>
      </x:c>
      <x:c r="E77" s="40" t="str">
        <x:v>E6 真实浏览器 + API</x:v>
      </x:c>
      <x:c r="F77" s="40" t="str">
        <x:v>桌面 1440×900、平板 768×1024、手机 390×844；真实角色及状态数据。
覆盖参数、调试公开导航和获授权的日志、知识深链接。</x:v>
      </x:c>
      <x:c r="G77" s="40" t="str">
        <x:v>1. 逐入口打开
2. 刷新及前进后退
3. 检查当前菜单和页面</x:v>
      </x:c>
      <x:c r="H77" s="40" t="str">
        <x:v>导航、路由和权限一致；隐藏导航不导致获授权深链接错误或越权。</x:v>
      </x:c>
      <x:c r="I77" s="40" t="str">
        <x:v>关闭本轮会话与服务，保留截图及控制台记录。</x:v>
      </x:c>
      <x:c r="J77" s="40" t="str">
        <x:v>TDES-UI-01</x:v>
      </x:c>
      <x:c r="K77" s="40" t="str">
        <x:v>SRC-19</x:v>
      </x:c>
    </x:row>
    <x:row r="78" ht="104" customHeight="1">
      <x:c r="A78" s="40" t="str">
        <x:v>TC-UI-01-02</x:v>
      </x:c>
      <x:c r="B78" s="40" t="str">
        <x:v>界面与导航</x:v>
      </x:c>
      <x:c r="C78" s="40" t="str">
        <x:v>P1</x:v>
      </x:c>
      <x:c r="D78" s="40" t="str">
        <x:v>加载空态及错误可区分</x:v>
      </x:c>
      <x:c r="E78" s="40" t="str">
        <x:v>E6 真实浏览器 + API</x:v>
      </x:c>
      <x:c r="F78" s="40" t="str">
        <x:v>桌面 1440×900、平板 768×1024、手机 390×844；真实角色及状态数据。
按受影响模块构造加载、真空数据和 API 失败。</x:v>
      </x:c>
      <x:c r="G78" s="40" t="str">
        <x:v>1. 逐状态打开页面
2. 重试或刷新
3. 检查网络和控制台</x:v>
      </x:c>
      <x:c r="H78" s="40" t="str">
        <x:v>加载可感知，空态不遮蔽错误；失败不会静默回退 mock，重试状态正确。</x:v>
      </x:c>
      <x:c r="I78" s="40" t="str">
        <x:v>关闭本轮会话与服务，保留截图及控制台记录。</x:v>
      </x:c>
      <x:c r="J78" s="40" t="str">
        <x:v>TDES-UI-01</x:v>
      </x:c>
      <x:c r="K78" s="40" t="str">
        <x:v>SRC-19</x:v>
      </x:c>
    </x:row>
    <x:row r="79" ht="104" customHeight="1">
      <x:c r="A79" s="40" t="str">
        <x:v>TC-UI-01-03</x:v>
      </x:c>
      <x:c r="B79" s="40" t="str">
        <x:v>界面与导航</x:v>
      </x:c>
      <x:c r="C79" s="40" t="str">
        <x:v>P1</x:v>
      </x:c>
      <x:c r="D79" s="40" t="str">
        <x:v>三种视口布局可操作</x:v>
      </x:c>
      <x:c r="E79" s="40" t="str">
        <x:v>E6 真实浏览器 + API</x:v>
      </x:c>
      <x:c r="F79" s="40" t="str">
        <x:v>桌面 1440×900、平板 768×1024、手机 390×844；真实角色及状态数据。
覆盖表格、过滤器、菜单、弹窗和表单；逐页逐尺寸记录。</x:v>
      </x:c>
      <x:c r="G79" s="40" t="str">
        <x:v>1. 调整三个尺寸
2. snapshot 与 screenshot
3. 执行筛选、填写、提交和关闭</x:v>
      </x:c>
      <x:c r="H79" s="40" t="str">
        <x:v>无重叠、溢出、意外横滚或遮挡；关键交互可完成，记录控制台及相关请求结果。</x:v>
      </x:c>
      <x:c r="I79" s="40" t="str">
        <x:v>关闭本轮会话与服务，保留截图及控制台记录。</x:v>
      </x:c>
      <x:c r="J79" s="40" t="str">
        <x:v>TDES-UI-01</x:v>
      </x:c>
      <x:c r="K79" s="40" t="str">
        <x:v>SRC-19</x:v>
      </x:c>
    </x:row>
    <x:row r="80" ht="104" customHeight="1">
      <x:c r="A80" s="40" t="str">
        <x:v>TC-UI-01-04</x:v>
      </x:c>
      <x:c r="B80" s="40" t="str">
        <x:v>界面与导航</x:v>
      </x:c>
      <x:c r="C80" s="40" t="str">
        <x:v>P1</x:v>
      </x:c>
      <x:c r="D80" s="40" t="str">
        <x:v>键盘与焦点流程</x:v>
      </x:c>
      <x:c r="E80" s="40" t="str">
        <x:v>E6 真实浏览器 + API</x:v>
      </x:c>
      <x:c r="F80" s="40" t="str">
        <x:v>桌面 1440×900、平板 768×1024、手机 390×844；真实角色及状态数据。
选择核心表单、下拉和弹窗。</x:v>
      </x:c>
      <x:c r="G80" s="40" t="str">
        <x:v>1. 仅用键盘进入控件
2. 打开关闭菜单和弹窗
3. 提交及处理错误</x:v>
      </x:c>
      <x:c r="H80" s="40" t="str">
        <x:v>焦点清楚、顺序合理；弹窗焦点可恢复，校验错误可感知，无键盘陷阱。</x:v>
      </x:c>
      <x:c r="I80" s="40" t="str">
        <x:v>关闭本轮会话与服务，保留截图及控制台记录。</x:v>
      </x:c>
      <x:c r="J80" s="40" t="str">
        <x:v>TDES-UI-01</x:v>
      </x:c>
      <x:c r="K80" s="40" t="str">
        <x:v>SRC-19</x:v>
      </x:c>
    </x:row>
    <x:row r="81" ht="104" customHeight="1">
      <x:c r="A81" s="40" t="str">
        <x:v>TC-OPS-01-01</x:v>
      </x:c>
      <x:c r="B81" s="40" t="str">
        <x:v>运行维护</x:v>
      </x:c>
      <x:c r="C81" s="40" t="str">
        <x:v>P0</x:v>
      </x:c>
      <x:c r="D81" s="40" t="str">
        <x:v>存活与就绪表达真实依赖</x:v>
      </x:c>
      <x:c r="E81" s="40" t="str">
        <x:v>E7 授权隔离目标环境</x:v>
      </x:c>
      <x:c r="F81" s="40" t="str">
        <x:v>明确环境所有者、备份、回滚版本、健康依赖与产物目录。
记录正常依赖状态；仅在隔离环境注入故障。</x:v>
      </x:c>
      <x:c r="G81" s="40" t="str">
        <x:v>1. 读取 live 和 ready
2. 使关键依赖不可用
3. 重复读取
4. 恢复依赖</x:v>
      </x:c>
      <x:c r="H81" s="40" t="str">
        <x:v>存活与就绪语义分离；依赖故障如实反映，恢复后就绪返回正常。</x:v>
      </x:c>
      <x:c r="I81" s="40" t="str">
        <x:v>恢复原依赖和目标版本；保留演练证据，由所有者清理资源。</x:v>
      </x:c>
      <x:c r="J81" s="40" t="str">
        <x:v>TDES-OPS-01</x:v>
      </x:c>
      <x:c r="K81" s="40" t="str">
        <x:v>SRC-20</x:v>
      </x:c>
    </x:row>
    <x:row r="82" ht="104" customHeight="1">
      <x:c r="A82" s="40" t="str">
        <x:v>TC-OPS-01-02</x:v>
      </x:c>
      <x:c r="B82" s="40" t="str">
        <x:v>运行维护</x:v>
      </x:c>
      <x:c r="C82" s="40" t="str">
        <x:v>P0</x:v>
      </x:c>
      <x:c r="D82" s="40" t="str">
        <x:v>备份恢复保留数据一致性</x:v>
      </x:c>
      <x:c r="E82" s="40" t="str">
        <x:v>E7 授权隔离目标环境</x:v>
      </x:c>
      <x:c r="F82" s="40" t="str">
        <x:v>明确环境所有者、备份、回滚版本、健康依赖与产物目录。
准备业务数据、数据库和对象备份；确定检查谓词。</x:v>
      </x:c>
      <x:c r="G82" s="40" t="str">
        <x:v>1. 记录备份摘要
2. 恢复到隔离目标
3. 核对业务行、对象可读性与审计</x:v>
      </x:c>
      <x:c r="H82" s="40" t="str">
        <x:v>数据库和对象对应一致，关键业务可读；记录恢复耗时与缺口。</x:v>
      </x:c>
      <x:c r="I82" s="40" t="str">
        <x:v>恢复原依赖和目标版本；保留演练证据，由所有者清理资源。</x:v>
      </x:c>
      <x:c r="J82" s="40" t="str">
        <x:v>TDES-OPS-01</x:v>
      </x:c>
      <x:c r="K82" s="40" t="str">
        <x:v>SRC-20</x:v>
      </x:c>
    </x:row>
    <x:row r="83" ht="104" customHeight="1">
      <x:c r="A83" s="40" t="str">
        <x:v>TC-OPS-01-03</x:v>
      </x:c>
      <x:c r="B83" s="40" t="str">
        <x:v>运行维护</x:v>
      </x:c>
      <x:c r="C83" s="40" t="str">
        <x:v>P0</x:v>
      </x:c>
      <x:c r="D83" s="40" t="str">
        <x:v>升级失败按规则回滚</x:v>
      </x:c>
      <x:c r="E83" s="40" t="str">
        <x:v>E7 授权隔离目标环境</x:v>
      </x:c>
      <x:c r="F83" s="40" t="str">
        <x:v>明确环境所有者、备份、回滚版本、健康依赖与产物目录。
准备当前版本、候选版本、迁移兼容结论和故障点。</x:v>
      </x:c>
      <x:c r="G83" s="40" t="str">
        <x:v>1. 按运行手册升级
2. 在受控点制造失败
3. 执行允许的回滚
4. 验证关键流程</x:v>
      </x:c>
      <x:c r="H83" s="40" t="str">
        <x:v>失败不被报告成功；按数据库兼容规则恢复可用版本，保留版本和迁移证据。</x:v>
      </x:c>
      <x:c r="I83" s="40" t="str">
        <x:v>恢复原依赖和目标版本；保留演练证据，由所有者清理资源。</x:v>
      </x:c>
      <x:c r="J83" s="40" t="str">
        <x:v>TDES-OPS-01</x:v>
      </x:c>
      <x:c r="K83" s="40" t="str">
        <x:v>SRC-20</x:v>
      </x:c>
    </x:row>
    <x:row r="84" ht="104" customHeight="1">
      <x:c r="A84" s="40" t="str">
        <x:v>TC-OPS-01-04</x:v>
      </x:c>
      <x:c r="B84" s="40" t="str">
        <x:v>运行维护</x:v>
      </x:c>
      <x:c r="C84" s="40" t="str">
        <x:v>P1</x:v>
      </x:c>
      <x:c r="D84" s="40" t="str">
        <x:v>目标容量与恢复时间测量</x:v>
      </x:c>
      <x:c r="E84" s="40" t="str">
        <x:v>E7 授权隔离目标环境</x:v>
      </x:c>
      <x:c r="F84" s="40" t="str">
        <x:v>明确环境所有者、备份、回滚版本、健康依赖与产物目录。
运行前由环境所有者填写并批准负载、延迟、错误率与恢复时间阈值。</x:v>
      </x:c>
      <x:c r="G84" s="40" t="str">
        <x:v>1. 按既定负载执行
2. 采集延迟、错误率、队列和资源
3. 模拟恢复并计时</x:v>
      </x:c>
      <x:c r="H84" s="40" t="str">
        <x:v>逐项与事先约定阈值比较；缺少阈值或环境记阻塞，SQL 预算或本地模拟不能替代目标结论。</x:v>
      </x:c>
      <x:c r="I84" s="40" t="str">
        <x:v>恢复原依赖和目标版本；保留演练证据，由所有者清理资源。</x:v>
      </x:c>
      <x:c r="J84" s="40" t="str">
        <x:v>TDES-OPS-01</x:v>
      </x:c>
      <x:c r="K84" s="40" t="str">
        <x:v>SRC-20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5dc2c99e9aa842e5"/>
  </x:tableParts>
</x:worksheet>
</file>

<file path=xl/worksheets/sheet3.xml><?xml version="1.0" encoding="utf-8"?>
<x:worksheet xmlns:x="http://schemas.openxmlformats.org/spreadsheetml/2006/main">
  <x:sheetPr>
    <x:tabColor rgb="FFFFFFF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110000610351562" hidden="0" customWidth="1"/>
    <x:col min="2" max="2" width="10.5600004196167" hidden="0" customWidth="1"/>
    <x:col min="3" max="3" width="7.110000133514404" hidden="0" customWidth="1"/>
    <x:col min="4" max="4" width="26.670000076293945" hidden="0" customWidth="1"/>
    <x:col min="5" max="5" width="11.109999656677246" hidden="0" customWidth="1"/>
    <x:col min="6" max="6" width="37.779998779296875" hidden="0" customWidth="1"/>
    <x:col min="7" max="7" width="11.670000076293945" hidden="0" customWidth="1"/>
    <x:col min="8" max="8" width="12.779999732971191" hidden="0" customWidth="1"/>
    <x:col min="9" max="9" width="14.4399995803833" hidden="0" customWidth="1"/>
    <x:col min="10" max="10" width="30" hidden="0" customWidth="1"/>
    <x:col min="11" max="11" width="32.220001220703125" hidden="0" customWidth="1"/>
    <x:col min="12" max="12" width="28.889999389648438" hidden="0" customWidth="1"/>
  </x:cols>
  <x:sheetData>
    <x:row r="1" ht="40" customHeight="1">
      <x:c r="A1" s="36" t="str">
        <x:v>WiseEff 测试执行记录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</x:row>
    <x:row r="2" ht="34" customHeight="1">
      <x:c r="A2" s="38" t="str">
        <x:v>执行批次：待填写 · 设计基线：2026-09-06 · 79 条用例的初始状态均为未执行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</x:row>
    <x:row r="3" ht="28" customHeight="1">
      <x:c r="A3" s="37" t="str">
        <x:v>E 至 L 列供执行人员填写。每批复制本工作簿并记录实际 SHA、环境与证据。通过需满足该用例全部预期。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</x:row>
    <x:row r="4" ht="28" customHeight="1">
      <x:c r="A4" s="37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</x:row>
    <x:row r="5" ht="32" customHeight="1">
      <x:c r="A5" s="39" t="str">
        <x:v>用例ID</x:v>
      </x:c>
      <x:c r="B5" s="39" t="str">
        <x:v>模块</x:v>
      </x:c>
      <x:c r="C5" s="39" t="str">
        <x:v>优先级</x:v>
      </x:c>
      <x:c r="D5" s="39" t="str">
        <x:v>用例标题</x:v>
      </x:c>
      <x:c r="E5" s="39" t="str">
        <x:v>执行状态</x:v>
      </x:c>
      <x:c r="F5" s="39" t="str">
        <x:v>实际结果</x:v>
      </x:c>
      <x:c r="G5" s="39" t="str">
        <x:v>执行人</x:v>
      </x:c>
      <x:c r="H5" s="39" t="str">
        <x:v>执行日期</x:v>
      </x:c>
      <x:c r="I5" s="39" t="str">
        <x:v>缺陷编号</x:v>
      </x:c>
      <x:c r="J5" s="39" t="str">
        <x:v>证据位置</x:v>
      </x:c>
      <x:c r="K5" s="39" t="str">
        <x:v>运行配置及批次</x:v>
      </x:c>
      <x:c r="L5" s="39" t="str">
        <x:v>备注</x:v>
      </x:c>
    </x:row>
    <x:row r="6" ht="61" customHeight="1">
      <x:c r="A6" s="40" t="str">
        <x:v>TC-PARAM-01-01</x:v>
      </x:c>
      <x:c r="B6" s="40" t="str">
        <x:f>VLOOKUP(A6,'用例设计'!$A$6:$K$84,2,FALSE)</x:f>
        <x:v>参数评审</x:v>
      </x:c>
      <x:c r="C6" s="40" t="str">
        <x:f>VLOOKUP(A6,'用例设计'!$A$6:$K$84,3,FALSE)</x:f>
        <x:v>P0</x:v>
      </x:c>
      <x:c r="D6" s="40" t="str">
        <x:f>VLOOKUP(A6,'用例设计'!$A$6:$K$84,4,FALSE)</x:f>
        <x:v>类型化草稿保存</x:v>
      </x:c>
      <x:c r="E6" s="40" t="str">
        <x:v>未执行</x:v>
      </x:c>
      <x:c r="F6" s="40"/>
      <x:c r="G6" s="40"/>
      <x:c r="H6" s="45"/>
      <x:c r="I6" s="40"/>
      <x:c r="J6" s="40"/>
      <x:c r="K6" s="40"/>
      <x:c r="L6" s="40"/>
    </x:row>
    <x:row r="7" ht="61" customHeight="1">
      <x:c r="A7" s="40" t="str">
        <x:v>TC-PARAM-01-02</x:v>
      </x:c>
      <x:c r="B7" s="40" t="str">
        <x:f>VLOOKUP(A7,'用例设计'!$A$6:$K$84,2,FALSE)</x:f>
        <x:v>参数评审</x:v>
      </x:c>
      <x:c r="C7" s="40" t="str">
        <x:f>VLOOKUP(A7,'用例设计'!$A$6:$K$84,3,FALSE)</x:f>
        <x:v>P0</x:v>
      </x:c>
      <x:c r="D7" s="40" t="str">
        <x:f>VLOOKUP(A7,'用例设计'!$A$6:$K$84,4,FALSE)</x:f>
        <x:v>完整角色链评审合入</x:v>
      </x:c>
      <x:c r="E7" s="40" t="str">
        <x:v>未执行</x:v>
      </x:c>
      <x:c r="F7" s="40"/>
      <x:c r="G7" s="40"/>
      <x:c r="H7" s="45"/>
      <x:c r="I7" s="40"/>
      <x:c r="J7" s="40"/>
      <x:c r="K7" s="40"/>
      <x:c r="L7" s="40"/>
    </x:row>
    <x:row r="8" ht="61" customHeight="1">
      <x:c r="A8" s="40" t="str">
        <x:v>TC-PARAM-01-03</x:v>
      </x:c>
      <x:c r="B8" s="40" t="str">
        <x:f>VLOOKUP(A8,'用例设计'!$A$6:$K$84,2,FALSE)</x:f>
        <x:v>参数评审</x:v>
      </x:c>
      <x:c r="C8" s="40" t="str">
        <x:f>VLOOKUP(A8,'用例设计'!$A$6:$K$84,3,FALSE)</x:f>
        <x:v>P0</x:v>
      </x:c>
      <x:c r="D8" s="40" t="str">
        <x:f>VLOOKUP(A8,'用例设计'!$A$6:$K$84,4,FALSE)</x:f>
        <x:v>非指定负责人不能代审</x:v>
      </x:c>
      <x:c r="E8" s="40" t="str">
        <x:v>未执行</x:v>
      </x:c>
      <x:c r="F8" s="40"/>
      <x:c r="G8" s="40"/>
      <x:c r="H8" s="45"/>
      <x:c r="I8" s="40"/>
      <x:c r="J8" s="40"/>
      <x:c r="K8" s="40"/>
      <x:c r="L8" s="40"/>
    </x:row>
    <x:row r="9" ht="61" customHeight="1">
      <x:c r="A9" s="40" t="str">
        <x:v>TC-PARAM-01-04</x:v>
      </x:c>
      <x:c r="B9" s="40" t="str">
        <x:f>VLOOKUP(A9,'用例设计'!$A$6:$K$84,2,FALSE)</x:f>
        <x:v>参数评审</x:v>
      </x:c>
      <x:c r="C9" s="40" t="str">
        <x:f>VLOOKUP(A9,'用例设计'!$A$6:$K$84,3,FALSE)</x:f>
        <x:v>P0</x:v>
      </x:c>
      <x:c r="D9" s="40" t="str">
        <x:f>VLOOKUP(A9,'用例设计'!$A$6:$K$84,4,FALSE)</x:f>
        <x:v>非法类型或越界值被拒绝</x:v>
      </x:c>
      <x:c r="E9" s="40" t="str">
        <x:v>未执行</x:v>
      </x:c>
      <x:c r="F9" s="40"/>
      <x:c r="G9" s="40"/>
      <x:c r="H9" s="45"/>
      <x:c r="I9" s="40"/>
      <x:c r="J9" s="40"/>
      <x:c r="K9" s="40"/>
      <x:c r="L9" s="40"/>
    </x:row>
    <x:row r="10" ht="61" customHeight="1">
      <x:c r="A10" s="40" t="str">
        <x:v>TC-PARAM-01-05</x:v>
      </x:c>
      <x:c r="B10" s="40" t="str">
        <x:f>VLOOKUP(A10,'用例设计'!$A$6:$K$84,2,FALSE)</x:f>
        <x:v>参数评审</x:v>
      </x:c>
      <x:c r="C10" s="40" t="str">
        <x:f>VLOOKUP(A10,'用例设计'!$A$6:$K$84,3,FALSE)</x:f>
        <x:v>P0</x:v>
      </x:c>
      <x:c r="D10" s="40" t="str">
        <x:f>VLOOKUP(A10,'用例设计'!$A$6:$K$84,4,FALSE)</x:f>
        <x:v>合入文件精确写回</x:v>
      </x:c>
      <x:c r="E10" s="40" t="str">
        <x:v>未执行</x:v>
      </x:c>
      <x:c r="F10" s="40"/>
      <x:c r="G10" s="40"/>
      <x:c r="H10" s="45"/>
      <x:c r="I10" s="40"/>
      <x:c r="J10" s="40"/>
      <x:c r="K10" s="40"/>
      <x:c r="L10" s="40"/>
    </x:row>
    <x:row r="11" ht="61" customHeight="1">
      <x:c r="A11" s="40" t="str">
        <x:v>TC-PARAM-02-01</x:v>
      </x:c>
      <x:c r="B11" s="40" t="str">
        <x:f>VLOOKUP(A11,'用例设计'!$A$6:$K$84,2,FALSE)</x:f>
        <x:v>参数评审</x:v>
      </x:c>
      <x:c r="C11" s="40" t="str">
        <x:f>VLOOKUP(A11,'用例设计'!$A$6:$K$84,3,FALSE)</x:f>
        <x:v>P0</x:v>
      </x:c>
      <x:c r="D11" s="40" t="str">
        <x:f>VLOOKUP(A11,'用例设计'!$A$6:$K$84,4,FALSE)</x:f>
        <x:v>项目切换忽略迟到响应</x:v>
      </x:c>
      <x:c r="E11" s="40" t="str">
        <x:v>未执行</x:v>
      </x:c>
      <x:c r="F11" s="40"/>
      <x:c r="G11" s="40"/>
      <x:c r="H11" s="45"/>
      <x:c r="I11" s="40"/>
      <x:c r="J11" s="40"/>
      <x:c r="K11" s="40"/>
      <x:c r="L11" s="40"/>
    </x:row>
    <x:row r="12" ht="61" customHeight="1">
      <x:c r="A12" s="40" t="str">
        <x:v>TC-PARAM-02-02</x:v>
      </x:c>
      <x:c r="B12" s="40" t="str">
        <x:f>VLOOKUP(A12,'用例设计'!$A$6:$K$84,2,FALSE)</x:f>
        <x:v>参数评审</x:v>
      </x:c>
      <x:c r="C12" s="40" t="str">
        <x:f>VLOOKUP(A12,'用例设计'!$A$6:$K$84,3,FALSE)</x:f>
        <x:v>P0</x:v>
      </x:c>
      <x:c r="D12" s="40" t="str">
        <x:f>VLOOKUP(A12,'用例设计'!$A$6:$K$84,4,FALSE)</x:f>
        <x:v>旧候选提交被拒绝</x:v>
      </x:c>
      <x:c r="E12" s="40" t="str">
        <x:v>未执行</x:v>
      </x:c>
      <x:c r="F12" s="40"/>
      <x:c r="G12" s="40"/>
      <x:c r="H12" s="45"/>
      <x:c r="I12" s="40"/>
      <x:c r="J12" s="40"/>
      <x:c r="K12" s="40"/>
      <x:c r="L12" s="40"/>
    </x:row>
    <x:row r="13" ht="61" customHeight="1">
      <x:c r="A13" s="40" t="str">
        <x:v>TC-PARAM-02-03</x:v>
      </x:c>
      <x:c r="B13" s="40" t="str">
        <x:f>VLOOKUP(A13,'用例设计'!$A$6:$K$84,2,FALSE)</x:f>
        <x:v>参数评审</x:v>
      </x:c>
      <x:c r="C13" s="40" t="str">
        <x:f>VLOOKUP(A13,'用例设计'!$A$6:$K$84,3,FALSE)</x:f>
        <x:v>P0</x:v>
      </x:c>
      <x:c r="D13" s="40" t="str">
        <x:f>VLOOKUP(A13,'用例设计'!$A$6:$K$84,4,FALSE)</x:f>
        <x:v>旧候选合入被拒绝</x:v>
      </x:c>
      <x:c r="E13" s="40" t="str">
        <x:v>未执行</x:v>
      </x:c>
      <x:c r="F13" s="40"/>
      <x:c r="G13" s="40"/>
      <x:c r="H13" s="45"/>
      <x:c r="I13" s="40"/>
      <x:c r="J13" s="40"/>
      <x:c r="K13" s="40"/>
      <x:c r="L13" s="40"/>
    </x:row>
    <x:row r="14" ht="61" customHeight="1">
      <x:c r="A14" s="40" t="str">
        <x:v>TC-PARAM-02-04</x:v>
      </x:c>
      <x:c r="B14" s="40" t="str">
        <x:f>VLOOKUP(A14,'用例设计'!$A$6:$K$84,2,FALSE)</x:f>
        <x:v>参数评审</x:v>
      </x:c>
      <x:c r="C14" s="40" t="str">
        <x:f>VLOOKUP(A14,'用例设计'!$A$6:$K$84,3,FALSE)</x:f>
        <x:v>P0</x:v>
      </x:c>
      <x:c r="D14" s="40" t="str">
        <x:f>VLOOKUP(A14,'用例设计'!$A$6:$K$84,4,FALSE)</x:f>
        <x:v>替换候选身份被拒绝</x:v>
      </x:c>
      <x:c r="E14" s="40" t="str">
        <x:v>未执行</x:v>
      </x:c>
      <x:c r="F14" s="40"/>
      <x:c r="G14" s="40"/>
      <x:c r="H14" s="45"/>
      <x:c r="I14" s="40"/>
      <x:c r="J14" s="40"/>
      <x:c r="K14" s="40"/>
      <x:c r="L14" s="40"/>
    </x:row>
    <x:row r="15" ht="61" customHeight="1">
      <x:c r="A15" s="40" t="str">
        <x:v>TC-FILE-01-01</x:v>
      </x:c>
      <x:c r="B15" s="40" t="str">
        <x:f>VLOOKUP(A15,'用例设计'!$A$6:$K$84,2,FALSE)</x:f>
        <x:v>文件与配置</x:v>
      </x:c>
      <x:c r="C15" s="40" t="str">
        <x:f>VLOOKUP(A15,'用例设计'!$A$6:$K$84,3,FALSE)</x:f>
        <x:v>P1</x:v>
      </x:c>
      <x:c r="D15" s="40" t="str">
        <x:f>VLOOKUP(A15,'用例设计'!$A$6:$K$84,4,FALSE)</x:f>
        <x:v>导入预览后取消</x:v>
      </x:c>
      <x:c r="E15" s="40" t="str">
        <x:v>未执行</x:v>
      </x:c>
      <x:c r="F15" s="40"/>
      <x:c r="G15" s="40"/>
      <x:c r="H15" s="45"/>
      <x:c r="I15" s="40"/>
      <x:c r="J15" s="40"/>
      <x:c r="K15" s="40"/>
      <x:c r="L15" s="40"/>
    </x:row>
    <x:row r="16" ht="61" customHeight="1">
      <x:c r="A16" s="40" t="str">
        <x:v>TC-FILE-01-02</x:v>
      </x:c>
      <x:c r="B16" s="40" t="str">
        <x:f>VLOOKUP(A16,'用例设计'!$A$6:$K$84,2,FALSE)</x:f>
        <x:v>文件与配置</x:v>
      </x:c>
      <x:c r="C16" s="40" t="str">
        <x:f>VLOOKUP(A16,'用例设计'!$A$6:$K$84,3,FALSE)</x:f>
        <x:v>P1</x:v>
      </x:c>
      <x:c r="D16" s="40" t="str">
        <x:f>VLOOKUP(A16,'用例设计'!$A$6:$K$84,4,FALSE)</x:f>
        <x:v>非法导入不可应用</x:v>
      </x:c>
      <x:c r="E16" s="40" t="str">
        <x:v>未执行</x:v>
      </x:c>
      <x:c r="F16" s="40"/>
      <x:c r="G16" s="40"/>
      <x:c r="H16" s="45"/>
      <x:c r="I16" s="40"/>
      <x:c r="J16" s="40"/>
      <x:c r="K16" s="40"/>
      <x:c r="L16" s="40"/>
    </x:row>
    <x:row r="17" ht="61" customHeight="1">
      <x:c r="A17" s="40" t="str">
        <x:v>TC-FILE-01-03</x:v>
      </x:c>
      <x:c r="B17" s="40" t="str">
        <x:f>VLOOKUP(A17,'用例设计'!$A$6:$K$84,2,FALSE)</x:f>
        <x:v>文件与配置</x:v>
      </x:c>
      <x:c r="C17" s="40" t="str">
        <x:f>VLOOKUP(A17,'用例设计'!$A$6:$K$84,3,FALSE)</x:f>
        <x:v>P1</x:v>
      </x:c>
      <x:c r="D17" s="40" t="str">
        <x:f>VLOOKUP(A17,'用例设计'!$A$6:$K$84,4,FALSE)</x:f>
        <x:v>有效文件确认应用</x:v>
      </x:c>
      <x:c r="E17" s="40" t="str">
        <x:v>未执行</x:v>
      </x:c>
      <x:c r="F17" s="40"/>
      <x:c r="G17" s="40"/>
      <x:c r="H17" s="45"/>
      <x:c r="I17" s="40"/>
      <x:c r="J17" s="40"/>
      <x:c r="K17" s="40"/>
      <x:c r="L17" s="40"/>
    </x:row>
    <x:row r="18" ht="61" customHeight="1">
      <x:c r="A18" s="40" t="str">
        <x:v>TC-FILE-01-04</x:v>
      </x:c>
      <x:c r="B18" s="40" t="str">
        <x:f>VLOOKUP(A18,'用例设计'!$A$6:$K$84,2,FALSE)</x:f>
        <x:v>文件与配置</x:v>
      </x:c>
      <x:c r="C18" s="40" t="str">
        <x:f>VLOOKUP(A18,'用例设计'!$A$6:$K$84,3,FALSE)</x:f>
        <x:v>P0</x:v>
      </x:c>
      <x:c r="D18" s="40" t="str">
        <x:f>VLOOKUP(A18,'用例设计'!$A$6:$K$84,4,FALSE)</x:f>
        <x:v>过期配置激活或写回</x:v>
      </x:c>
      <x:c r="E18" s="40" t="str">
        <x:v>未执行</x:v>
      </x:c>
      <x:c r="F18" s="40"/>
      <x:c r="G18" s="40"/>
      <x:c r="H18" s="45"/>
      <x:c r="I18" s="40"/>
      <x:c r="J18" s="40"/>
      <x:c r="K18" s="40"/>
      <x:c r="L18" s="40"/>
    </x:row>
    <x:row r="19" ht="61" customHeight="1">
      <x:c r="A19" s="40" t="str">
        <x:v>TC-CAT-01-01</x:v>
      </x:c>
      <x:c r="B19" s="40" t="str">
        <x:f>VLOOKUP(A19,'用例设计'!$A$6:$K$84,2,FALSE)</x:f>
        <x:v>目录治理</x:v>
      </x:c>
      <x:c r="C19" s="40" t="str">
        <x:f>VLOOKUP(A19,'用例设计'!$A$6:$K$84,3,FALSE)</x:f>
        <x:v>P0</x:v>
      </x:c>
      <x:c r="D19" s="40" t="str">
        <x:f>VLOOKUP(A19,'用例设计'!$A$6:$K$84,4,FALSE)</x:f>
        <x:v>目录固定版本读取</x:v>
      </x:c>
      <x:c r="E19" s="40" t="str">
        <x:v>未执行</x:v>
      </x:c>
      <x:c r="F19" s="40"/>
      <x:c r="G19" s="40"/>
      <x:c r="H19" s="45"/>
      <x:c r="I19" s="40"/>
      <x:c r="J19" s="40"/>
      <x:c r="K19" s="40"/>
      <x:c r="L19" s="40"/>
    </x:row>
    <x:row r="20" ht="61" customHeight="1">
      <x:c r="A20" s="40" t="str">
        <x:v>TC-CAT-01-02</x:v>
      </x:c>
      <x:c r="B20" s="40" t="str">
        <x:f>VLOOKUP(A20,'用例设计'!$A$6:$K$84,2,FALSE)</x:f>
        <x:v>目录治理</x:v>
      </x:c>
      <x:c r="C20" s="40" t="str">
        <x:f>VLOOKUP(A20,'用例设计'!$A$6:$K$84,3,FALSE)</x:f>
        <x:v>P0</x:v>
      </x:c>
      <x:c r="D20" s="40" t="str">
        <x:f>VLOOKUP(A20,'用例设计'!$A$6:$K$84,4,FALSE)</x:f>
        <x:v>项目授权范围即时生效</x:v>
      </x:c>
      <x:c r="E20" s="40" t="str">
        <x:v>未执行</x:v>
      </x:c>
      <x:c r="F20" s="40"/>
      <x:c r="G20" s="40"/>
      <x:c r="H20" s="45"/>
      <x:c r="I20" s="40"/>
      <x:c r="J20" s="40"/>
      <x:c r="K20" s="40"/>
      <x:c r="L20" s="40"/>
    </x:row>
    <x:row r="21" ht="61" customHeight="1">
      <x:c r="A21" s="40" t="str">
        <x:v>TC-CAT-01-03</x:v>
      </x:c>
      <x:c r="B21" s="40" t="str">
        <x:f>VLOOKUP(A21,'用例设计'!$A$6:$K$84,2,FALSE)</x:f>
        <x:v>目录治理</x:v>
      </x:c>
      <x:c r="C21" s="40" t="str">
        <x:f>VLOOKUP(A21,'用例设计'!$A$6:$K$84,3,FALSE)</x:f>
        <x:v>P0</x:v>
      </x:c>
      <x:c r="D21" s="40" t="str">
        <x:f>VLOOKUP(A21,'用例设计'!$A$6:$K$84,4,FALSE)</x:f>
        <x:v>目录跨组织隔离</x:v>
      </x:c>
      <x:c r="E21" s="40" t="str">
        <x:v>未执行</x:v>
      </x:c>
      <x:c r="F21" s="40"/>
      <x:c r="G21" s="40"/>
      <x:c r="H21" s="45"/>
      <x:c r="I21" s="40"/>
      <x:c r="J21" s="40"/>
      <x:c r="K21" s="40"/>
      <x:c r="L21" s="40"/>
    </x:row>
    <x:row r="22" ht="61" customHeight="1">
      <x:c r="A22" s="40" t="str">
        <x:v>TC-CAT-01-04</x:v>
      </x:c>
      <x:c r="B22" s="40" t="str">
        <x:f>VLOOKUP(A22,'用例设计'!$A$6:$K$84,2,FALSE)</x:f>
        <x:v>目录治理</x:v>
      </x:c>
      <x:c r="C22" s="40" t="str">
        <x:f>VLOOKUP(A22,'用例设计'!$A$6:$K$84,3,FALSE)</x:f>
        <x:v>P1</x:v>
      </x:c>
      <x:c r="D22" s="40" t="str">
        <x:f>VLOOKUP(A22,'用例设计'!$A$6:$K$84,4,FALSE)</x:f>
        <x:v>目录真实空态</x:v>
      </x:c>
      <x:c r="E22" s="40" t="str">
        <x:v>未执行</x:v>
      </x:c>
      <x:c r="F22" s="40"/>
      <x:c r="G22" s="40"/>
      <x:c r="H22" s="45"/>
      <x:c r="I22" s="40"/>
      <x:c r="J22" s="40"/>
      <x:c r="K22" s="40"/>
      <x:c r="L22" s="40"/>
    </x:row>
    <x:row r="23" ht="61" customHeight="1">
      <x:c r="A23" s="40" t="str">
        <x:v>TC-CAT-01-05</x:v>
      </x:c>
      <x:c r="B23" s="40" t="str">
        <x:f>VLOOKUP(A23,'用例设计'!$A$6:$K$84,2,FALSE)</x:f>
        <x:v>目录治理</x:v>
      </x:c>
      <x:c r="C23" s="40" t="str">
        <x:f>VLOOKUP(A23,'用例设计'!$A$6:$K$84,3,FALSE)</x:f>
        <x:v>P0</x:v>
      </x:c>
      <x:c r="D23" s="40" t="str">
        <x:f>VLOOKUP(A23,'用例设计'!$A$6:$K$84,4,FALSE)</x:f>
        <x:v>目录未就绪保留错误</x:v>
      </x:c>
      <x:c r="E23" s="40" t="str">
        <x:v>未执行</x:v>
      </x:c>
      <x:c r="F23" s="40"/>
      <x:c r="G23" s="40"/>
      <x:c r="H23" s="45"/>
      <x:c r="I23" s="40"/>
      <x:c r="J23" s="40"/>
      <x:c r="K23" s="40"/>
      <x:c r="L23" s="40"/>
    </x:row>
    <x:row r="24" ht="61" customHeight="1">
      <x:c r="A24" s="40" t="str">
        <x:v>TC-CAT-02-01</x:v>
      </x:c>
      <x:c r="B24" s="40" t="str">
        <x:f>VLOOKUP(A24,'用例设计'!$A$6:$K$84,2,FALSE)</x:f>
        <x:v>目录治理</x:v>
      </x:c>
      <x:c r="C24" s="40" t="str">
        <x:f>VLOOKUP(A24,'用例设计'!$A$6:$K$84,3,FALSE)</x:f>
        <x:v>P0</x:v>
      </x:c>
      <x:c r="D24" s="40" t="str">
        <x:f>VLOOKUP(A24,'用例设计'!$A$6:$K$84,4,FALSE)</x:f>
        <x:v>合法提案产生发布意图</x:v>
      </x:c>
      <x:c r="E24" s="40" t="str">
        <x:v>未执行</x:v>
      </x:c>
      <x:c r="F24" s="40"/>
      <x:c r="G24" s="40"/>
      <x:c r="H24" s="45"/>
      <x:c r="I24" s="40"/>
      <x:c r="J24" s="40"/>
      <x:c r="K24" s="40"/>
      <x:c r="L24" s="40"/>
    </x:row>
    <x:row r="25" ht="61" customHeight="1">
      <x:c r="A25" s="40" t="str">
        <x:v>TC-CAT-02-02</x:v>
      </x:c>
      <x:c r="B25" s="40" t="str">
        <x:f>VLOOKUP(A25,'用例设计'!$A$6:$K$84,2,FALSE)</x:f>
        <x:v>目录治理</x:v>
      </x:c>
      <x:c r="C25" s="40" t="str">
        <x:f>VLOOKUP(A25,'用例设计'!$A$6:$K$84,3,FALSE)</x:f>
        <x:v>P0</x:v>
      </x:c>
      <x:c r="D25" s="40" t="str">
        <x:f>VLOOKUP(A25,'用例设计'!$A$6:$K$84,4,FALSE)</x:f>
        <x:v>同请求重试返回原结果</x:v>
      </x:c>
      <x:c r="E25" s="40" t="str">
        <x:v>未执行</x:v>
      </x:c>
      <x:c r="F25" s="40"/>
      <x:c r="G25" s="40"/>
      <x:c r="H25" s="45"/>
      <x:c r="I25" s="40"/>
      <x:c r="J25" s="40"/>
      <x:c r="K25" s="40"/>
      <x:c r="L25" s="40"/>
    </x:row>
    <x:row r="26" ht="61" customHeight="1">
      <x:c r="A26" s="40" t="str">
        <x:v>TC-CAT-02-03</x:v>
      </x:c>
      <x:c r="B26" s="40" t="str">
        <x:f>VLOOKUP(A26,'用例设计'!$A$6:$K$84,2,FALSE)</x:f>
        <x:v>目录治理</x:v>
      </x:c>
      <x:c r="C26" s="40" t="str">
        <x:f>VLOOKUP(A26,'用例设计'!$A$6:$K$84,3,FALSE)</x:f>
        <x:v>P0</x:v>
      </x:c>
      <x:c r="D26" s="40" t="str">
        <x:f>VLOOKUP(A26,'用例设计'!$A$6:$K$84,4,FALSE)</x:f>
        <x:v>幂等键换内容产生冲突</x:v>
      </x:c>
      <x:c r="E26" s="40" t="str">
        <x:v>未执行</x:v>
      </x:c>
      <x:c r="F26" s="40"/>
      <x:c r="G26" s="40"/>
      <x:c r="H26" s="45"/>
      <x:c r="I26" s="40"/>
      <x:c r="J26" s="40"/>
      <x:c r="K26" s="40"/>
      <x:c r="L26" s="40"/>
    </x:row>
    <x:row r="27" ht="61" customHeight="1">
      <x:c r="A27" s="40" t="str">
        <x:v>TC-CAT-02-04</x:v>
      </x:c>
      <x:c r="B27" s="40" t="str">
        <x:f>VLOOKUP(A27,'用例设计'!$A$6:$K$84,2,FALSE)</x:f>
        <x:v>目录治理</x:v>
      </x:c>
      <x:c r="C27" s="40" t="str">
        <x:f>VLOOKUP(A27,'用例设计'!$A$6:$K$84,3,FALSE)</x:f>
        <x:v>P0</x:v>
      </x:c>
      <x:c r="D27" s="40" t="str">
        <x:f>VLOOKUP(A27,'用例设计'!$A$6:$K$84,4,FALSE)</x:f>
        <x:v>提交后丢响应安全恢复</x:v>
      </x:c>
      <x:c r="E27" s="40" t="str">
        <x:v>未执行</x:v>
      </x:c>
      <x:c r="F27" s="40"/>
      <x:c r="G27" s="40"/>
      <x:c r="H27" s="45"/>
      <x:c r="I27" s="40"/>
      <x:c r="J27" s="40"/>
      <x:c r="K27" s="40"/>
      <x:c r="L27" s="40"/>
    </x:row>
    <x:row r="28" ht="61" customHeight="1">
      <x:c r="A28" s="40" t="str">
        <x:v>TC-CAT-02-05</x:v>
      </x:c>
      <x:c r="B28" s="40" t="str">
        <x:f>VLOOKUP(A28,'用例设计'!$A$6:$K$84,2,FALSE)</x:f>
        <x:v>目录治理</x:v>
      </x:c>
      <x:c r="C28" s="40" t="str">
        <x:f>VLOOKUP(A28,'用例设计'!$A$6:$K$84,3,FALSE)</x:f>
        <x:v>P0</x:v>
      </x:c>
      <x:c r="D28" s="40" t="str">
        <x:f>VLOOKUP(A28,'用例设计'!$A$6:$K$84,4,FALSE)</x:f>
        <x:v>提案自审与跨组织拒绝</x:v>
      </x:c>
      <x:c r="E28" s="40" t="str">
        <x:v>未执行</x:v>
      </x:c>
      <x:c r="F28" s="40"/>
      <x:c r="G28" s="40"/>
      <x:c r="H28" s="45"/>
      <x:c r="I28" s="40"/>
      <x:c r="J28" s="40"/>
      <x:c r="K28" s="40"/>
      <x:c r="L28" s="40"/>
    </x:row>
    <x:row r="29" ht="61" customHeight="1">
      <x:c r="A29" s="40" t="str">
        <x:v>TC-CAT-02-06</x:v>
      </x:c>
      <x:c r="B29" s="40" t="str">
        <x:f>VLOOKUP(A29,'用例设计'!$A$6:$K$84,2,FALSE)</x:f>
        <x:v>目录治理</x:v>
      </x:c>
      <x:c r="C29" s="40" t="str">
        <x:f>VLOOKUP(A29,'用例设计'!$A$6:$K$84,3,FALSE)</x:f>
        <x:v>P0</x:v>
      </x:c>
      <x:c r="D29" s="40" t="str">
        <x:f>VLOOKUP(A29,'用例设计'!$A$6:$K$84,4,FALSE)</x:f>
        <x:v>过期 ETag 或基线冲突</x:v>
      </x:c>
      <x:c r="E29" s="40" t="str">
        <x:v>未执行</x:v>
      </x:c>
      <x:c r="F29" s="40"/>
      <x:c r="G29" s="40"/>
      <x:c r="H29" s="45"/>
      <x:c r="I29" s="40"/>
      <x:c r="J29" s="40"/>
      <x:c r="K29" s="40"/>
      <x:c r="L29" s="40"/>
    </x:row>
    <x:row r="30" ht="61" customHeight="1">
      <x:c r="A30" s="40" t="str">
        <x:v>TC-CAT-03-01</x:v>
      </x:c>
      <x:c r="B30" s="40" t="str">
        <x:f>VLOOKUP(A30,'用例设计'!$A$6:$K$84,2,FALSE)</x:f>
        <x:v>目录治理</x:v>
      </x:c>
      <x:c r="C30" s="40" t="str">
        <x:f>VLOOKUP(A30,'用例设计'!$A$6:$K$84,3,FALSE)</x:f>
        <x:v>P1</x:v>
      </x:c>
      <x:c r="D30" s="40" t="str">
        <x:f>VLOOKUP(A30,'用例设计'!$A$6:$K$84,4,FALSE)</x:f>
        <x:v>分页与注册过滤保持预算</x:v>
      </x:c>
      <x:c r="E30" s="40" t="str">
        <x:v>未执行</x:v>
      </x:c>
      <x:c r="F30" s="40"/>
      <x:c r="G30" s="40"/>
      <x:c r="H30" s="45"/>
      <x:c r="I30" s="40"/>
      <x:c r="J30" s="40"/>
      <x:c r="K30" s="40"/>
      <x:c r="L30" s="40"/>
    </x:row>
    <x:row r="31" ht="61" customHeight="1">
      <x:c r="A31" s="40" t="str">
        <x:v>TC-CAT-03-02</x:v>
      </x:c>
      <x:c r="B31" s="40" t="str">
        <x:f>VLOOKUP(A31,'用例设计'!$A$6:$K$84,2,FALSE)</x:f>
        <x:v>目录治理</x:v>
      </x:c>
      <x:c r="C31" s="40" t="str">
        <x:f>VLOOKUP(A31,'用例设计'!$A$6:$K$84,3,FALSE)</x:f>
        <x:v>P1</x:v>
      </x:c>
      <x:c r="D31" s="40" t="str">
        <x:f>VLOOKUP(A31,'用例设计'!$A$6:$K$84,4,FALSE)</x:f>
        <x:v>非法分页参数被拒绝</x:v>
      </x:c>
      <x:c r="E31" s="40" t="str">
        <x:v>未执行</x:v>
      </x:c>
      <x:c r="F31" s="40"/>
      <x:c r="G31" s="40"/>
      <x:c r="H31" s="45"/>
      <x:c r="I31" s="40"/>
      <x:c r="J31" s="40"/>
      <x:c r="K31" s="40"/>
      <x:c r="L31" s="40"/>
    </x:row>
    <x:row r="32" ht="61" customHeight="1">
      <x:c r="A32" s="40" t="str">
        <x:v>TC-CAT-03-03</x:v>
      </x:c>
      <x:c r="B32" s="40" t="str">
        <x:f>VLOOKUP(A32,'用例设计'!$A$6:$K$84,2,FALSE)</x:f>
        <x:v>目录治理</x:v>
      </x:c>
      <x:c r="C32" s="40" t="str">
        <x:f>VLOOKUP(A32,'用例设计'!$A$6:$K$84,3,FALSE)</x:f>
        <x:v>P0</x:v>
      </x:c>
      <x:c r="D32" s="40" t="str">
        <x:f>VLOOKUP(A32,'用例设计'!$A$6:$K$84,4,FALSE)</x:f>
        <x:v>投影失败不静默回退</x:v>
      </x:c>
      <x:c r="E32" s="40" t="str">
        <x:v>未执行</x:v>
      </x:c>
      <x:c r="F32" s="40"/>
      <x:c r="G32" s="40"/>
      <x:c r="H32" s="45"/>
      <x:c r="I32" s="40"/>
      <x:c r="J32" s="40"/>
      <x:c r="K32" s="40"/>
      <x:c r="L32" s="40"/>
    </x:row>
    <x:row r="33" ht="61" customHeight="1">
      <x:c r="A33" s="40" t="str">
        <x:v>TC-LOG-01-01</x:v>
      </x:c>
      <x:c r="B33" s="40" t="str">
        <x:f>VLOOKUP(A33,'用例设计'!$A$6:$K$84,2,FALSE)</x:f>
        <x:v>日志分析</x:v>
      </x:c>
      <x:c r="C33" s="40" t="str">
        <x:f>VLOOKUP(A33,'用例设计'!$A$6:$K$84,3,FALSE)</x:f>
        <x:v>P1</x:v>
      </x:c>
      <x:c r="D33" s="40" t="str">
        <x:f>VLOOKUP(A33,'用例设计'!$A$6:$K$84,4,FALSE)</x:f>
        <x:v>支持的日志完成分析</x:v>
      </x:c>
      <x:c r="E33" s="40" t="str">
        <x:v>未执行</x:v>
      </x:c>
      <x:c r="F33" s="40"/>
      <x:c r="G33" s="40"/>
      <x:c r="H33" s="45"/>
      <x:c r="I33" s="40"/>
      <x:c r="J33" s="40"/>
      <x:c r="K33" s="40"/>
      <x:c r="L33" s="40"/>
    </x:row>
    <x:row r="34" ht="61" customHeight="1">
      <x:c r="A34" s="40" t="str">
        <x:v>TC-LOG-01-02</x:v>
      </x:c>
      <x:c r="B34" s="40" t="str">
        <x:f>VLOOKUP(A34,'用例设计'!$A$6:$K$84,2,FALSE)</x:f>
        <x:v>日志分析</x:v>
      </x:c>
      <x:c r="C34" s="40" t="str">
        <x:f>VLOOKUP(A34,'用例设计'!$A$6:$K$84,3,FALSE)</x:f>
        <x:v>P1</x:v>
      </x:c>
      <x:c r="D34" s="40" t="str">
        <x:f>VLOOKUP(A34,'用例设计'!$A$6:$K$84,4,FALSE)</x:f>
        <x:v>无业务域仍可上传</x:v>
      </x:c>
      <x:c r="E34" s="40" t="str">
        <x:v>未执行</x:v>
      </x:c>
      <x:c r="F34" s="40"/>
      <x:c r="G34" s="40"/>
      <x:c r="H34" s="45"/>
      <x:c r="I34" s="40"/>
      <x:c r="J34" s="40"/>
      <x:c r="K34" s="40"/>
      <x:c r="L34" s="40"/>
    </x:row>
    <x:row r="35" ht="61" customHeight="1">
      <x:c r="A35" s="40" t="str">
        <x:v>TC-LOG-01-03</x:v>
      </x:c>
      <x:c r="B35" s="40" t="str">
        <x:f>VLOOKUP(A35,'用例设计'!$A$6:$K$84,2,FALSE)</x:f>
        <x:v>日志分析</x:v>
      </x:c>
      <x:c r="C35" s="40" t="str">
        <x:f>VLOOKUP(A35,'用例设计'!$A$6:$K$84,3,FALSE)</x:f>
        <x:v>P1</x:v>
      </x:c>
      <x:c r="D35" s="40" t="str">
        <x:f>VLOOKUP(A35,'用例设计'!$A$6:$K$84,4,FALSE)</x:f>
        <x:v>不支持的文件明确失败</x:v>
      </x:c>
      <x:c r="E35" s="40" t="str">
        <x:v>未执行</x:v>
      </x:c>
      <x:c r="F35" s="40"/>
      <x:c r="G35" s="40"/>
      <x:c r="H35" s="45"/>
      <x:c r="I35" s="40"/>
      <x:c r="J35" s="40"/>
      <x:c r="K35" s="40"/>
      <x:c r="L35" s="40"/>
    </x:row>
    <x:row r="36" ht="61" customHeight="1">
      <x:c r="A36" s="40" t="str">
        <x:v>TC-LOG-01-04</x:v>
      </x:c>
      <x:c r="B36" s="40" t="str">
        <x:f>VLOOKUP(A36,'用例设计'!$A$6:$K$84,2,FALSE)</x:f>
        <x:v>日志分析</x:v>
      </x:c>
      <x:c r="C36" s="40" t="str">
        <x:f>VLOOKUP(A36,'用例设计'!$A$6:$K$84,3,FALSE)</x:f>
        <x:v>P1</x:v>
      </x:c>
      <x:c r="D36" s="40" t="str">
        <x:f>VLOOKUP(A36,'用例设计'!$A$6:$K$84,4,FALSE)</x:f>
        <x:v>日志反馈与归档持久化</x:v>
      </x:c>
      <x:c r="E36" s="40" t="str">
        <x:v>未执行</x:v>
      </x:c>
      <x:c r="F36" s="40"/>
      <x:c r="G36" s="40"/>
      <x:c r="H36" s="45"/>
      <x:c r="I36" s="40"/>
      <x:c r="J36" s="40"/>
      <x:c r="K36" s="40"/>
      <x:c r="L36" s="40"/>
    </x:row>
    <x:row r="37" ht="61" customHeight="1">
      <x:c r="A37" s="40" t="str">
        <x:v>TC-LOG-02-01</x:v>
      </x:c>
      <x:c r="B37" s="40" t="str">
        <x:f>VLOOKUP(A37,'用例设计'!$A$6:$K$84,2,FALSE)</x:f>
        <x:v>日志分析</x:v>
      </x:c>
      <x:c r="C37" s="40" t="str">
        <x:f>VLOOKUP(A37,'用例设计'!$A$6:$K$84,3,FALSE)</x:f>
        <x:v>P1</x:v>
      </x:c>
      <x:c r="D37" s="40" t="str">
        <x:f>VLOOKUP(A37,'用例设计'!$A$6:$K$84,4,FALSE)</x:f>
        <x:v>虚构证据引用被识别</x:v>
      </x:c>
      <x:c r="E37" s="40" t="str">
        <x:v>未执行</x:v>
      </x:c>
      <x:c r="F37" s="40"/>
      <x:c r="G37" s="40"/>
      <x:c r="H37" s="45"/>
      <x:c r="I37" s="40"/>
      <x:c r="J37" s="40"/>
      <x:c r="K37" s="40"/>
      <x:c r="L37" s="40"/>
    </x:row>
    <x:row r="38" ht="61" customHeight="1">
      <x:c r="A38" s="40" t="str">
        <x:v>TC-LOG-02-02</x:v>
      </x:c>
      <x:c r="B38" s="40" t="str">
        <x:f>VLOOKUP(A38,'用例设计'!$A$6:$K$84,2,FALSE)</x:f>
        <x:v>日志分析</x:v>
      </x:c>
      <x:c r="C38" s="40" t="str">
        <x:f>VLOOKUP(A38,'用例设计'!$A$6:$K$84,3,FALSE)</x:f>
        <x:v>P0</x:v>
      </x:c>
      <x:c r="D38" s="40" t="str">
        <x:f>VLOOKUP(A38,'用例设计'!$A$6:$K$84,4,FALSE)</x:f>
        <x:v>非法工具及参数不执行</x:v>
      </x:c>
      <x:c r="E38" s="40" t="str">
        <x:v>未执行</x:v>
      </x:c>
      <x:c r="F38" s="40"/>
      <x:c r="G38" s="40"/>
      <x:c r="H38" s="45"/>
      <x:c r="I38" s="40"/>
      <x:c r="J38" s="40"/>
      <x:c r="K38" s="40"/>
      <x:c r="L38" s="40"/>
    </x:row>
    <x:row r="39" ht="61" customHeight="1">
      <x:c r="A39" s="40" t="str">
        <x:v>TC-LOG-02-03</x:v>
      </x:c>
      <x:c r="B39" s="40" t="str">
        <x:f>VLOOKUP(A39,'用例设计'!$A$6:$K$84,2,FALSE)</x:f>
        <x:v>日志分析</x:v>
      </x:c>
      <x:c r="C39" s="40" t="str">
        <x:f>VLOOKUP(A39,'用例设计'!$A$6:$K$84,3,FALSE)</x:f>
        <x:v>P1</x:v>
      </x:c>
      <x:c r="D39" s="40" t="str">
        <x:f>VLOOKUP(A39,'用例设计'!$A$6:$K$84,4,FALSE)</x:f>
        <x:v>模型不可用时如实降级</x:v>
      </x:c>
      <x:c r="E39" s="40" t="str">
        <x:v>未执行</x:v>
      </x:c>
      <x:c r="F39" s="40"/>
      <x:c r="G39" s="40"/>
      <x:c r="H39" s="45"/>
      <x:c r="I39" s="40"/>
      <x:c r="J39" s="40"/>
      <x:c r="K39" s="40"/>
      <x:c r="L39" s="40"/>
    </x:row>
    <x:row r="40" ht="61" customHeight="1">
      <x:c r="A40" s="40" t="str">
        <x:v>TC-LOG-02-04</x:v>
      </x:c>
      <x:c r="B40" s="40" t="str">
        <x:f>VLOOKUP(A40,'用例设计'!$A$6:$K$84,2,FALSE)</x:f>
        <x:v>日志分析</x:v>
      </x:c>
      <x:c r="C40" s="40" t="str">
        <x:f>VLOOKUP(A40,'用例设计'!$A$6:$K$84,3,FALSE)</x:f>
        <x:v>P1</x:v>
      </x:c>
      <x:c r="D40" s="40" t="str">
        <x:f>VLOOKUP(A40,'用例设计'!$A$6:$K$84,4,FALSE)</x:f>
        <x:v>畸形模型输出受控处理</x:v>
      </x:c>
      <x:c r="E40" s="40" t="str">
        <x:v>未执行</x:v>
      </x:c>
      <x:c r="F40" s="40"/>
      <x:c r="G40" s="40"/>
      <x:c r="H40" s="45"/>
      <x:c r="I40" s="40"/>
      <x:c r="J40" s="40"/>
      <x:c r="K40" s="40"/>
      <x:c r="L40" s="40"/>
    </x:row>
    <x:row r="41" ht="61" customHeight="1">
      <x:c r="A41" s="40" t="str">
        <x:v>TC-LOG-02-05</x:v>
      </x:c>
      <x:c r="B41" s="40" t="str">
        <x:f>VLOOKUP(A41,'用例设计'!$A$6:$K$84,2,FALSE)</x:f>
        <x:v>日志分析</x:v>
      </x:c>
      <x:c r="C41" s="40" t="str">
        <x:f>VLOOKUP(A41,'用例设计'!$A$6:$K$84,3,FALSE)</x:f>
        <x:v>P1</x:v>
      </x:c>
      <x:c r="D41" s="40" t="str">
        <x:f>VLOOKUP(A41,'用例设计'!$A$6:$K$84,4,FALSE)</x:f>
        <x:v>预算与证据不足有界收敛</x:v>
      </x:c>
      <x:c r="E41" s="40" t="str">
        <x:v>未执行</x:v>
      </x:c>
      <x:c r="F41" s="40"/>
      <x:c r="G41" s="40"/>
      <x:c r="H41" s="45"/>
      <x:c r="I41" s="40"/>
      <x:c r="J41" s="40"/>
      <x:c r="K41" s="40"/>
      <x:c r="L41" s="40"/>
    </x:row>
    <x:row r="42" ht="61" customHeight="1">
      <x:c r="A42" s="40" t="str">
        <x:v>TC-LOG-03-01</x:v>
      </x:c>
      <x:c r="B42" s="40" t="str">
        <x:f>VLOOKUP(A42,'用例设计'!$A$6:$K$84,2,FALSE)</x:f>
        <x:v>日志分析</x:v>
      </x:c>
      <x:c r="C42" s="40" t="str">
        <x:f>VLOOKUP(A42,'用例设计'!$A$6:$K$84,3,FALSE)</x:f>
        <x:v>P0</x:v>
      </x:c>
      <x:c r="D42" s="40" t="str">
        <x:f>VLOOKUP(A42,'用例设计'!$A$6:$K$84,4,FALSE)</x:f>
        <x:v>同任务重复投递</x:v>
      </x:c>
      <x:c r="E42" s="40" t="str">
        <x:v>未执行</x:v>
      </x:c>
      <x:c r="F42" s="40"/>
      <x:c r="G42" s="40"/>
      <x:c r="H42" s="45"/>
      <x:c r="I42" s="40"/>
      <x:c r="J42" s="40"/>
      <x:c r="K42" s="40"/>
      <x:c r="L42" s="40"/>
    </x:row>
    <x:row r="43" ht="61" customHeight="1">
      <x:c r="A43" s="40" t="str">
        <x:v>TC-LOG-03-02</x:v>
      </x:c>
      <x:c r="B43" s="40" t="str">
        <x:f>VLOOKUP(A43,'用例设计'!$A$6:$K$84,2,FALSE)</x:f>
        <x:v>日志分析</x:v>
      </x:c>
      <x:c r="C43" s="40" t="str">
        <x:f>VLOOKUP(A43,'用例设计'!$A$6:$K$84,3,FALSE)</x:f>
        <x:v>P0</x:v>
      </x:c>
      <x:c r="D43" s="40" t="str">
        <x:f>VLOOKUP(A43,'用例设计'!$A$6:$K$84,4,FALSE)</x:f>
        <x:v>过期 worker 无权覆盖</x:v>
      </x:c>
      <x:c r="E43" s="40" t="str">
        <x:v>未执行</x:v>
      </x:c>
      <x:c r="F43" s="40"/>
      <x:c r="G43" s="40"/>
      <x:c r="H43" s="45"/>
      <x:c r="I43" s="40"/>
      <x:c r="J43" s="40"/>
      <x:c r="K43" s="40"/>
      <x:c r="L43" s="40"/>
    </x:row>
    <x:row r="44" ht="61" customHeight="1">
      <x:c r="A44" s="40" t="str">
        <x:v>TC-LOG-03-03</x:v>
      </x:c>
      <x:c r="B44" s="40" t="str">
        <x:f>VLOOKUP(A44,'用例设计'!$A$6:$K$84,2,FALSE)</x:f>
        <x:v>日志分析</x:v>
      </x:c>
      <x:c r="C44" s="40" t="str">
        <x:f>VLOOKUP(A44,'用例设计'!$A$6:$K$84,3,FALSE)</x:f>
        <x:v>P1</x:v>
      </x:c>
      <x:c r="D44" s="40" t="str">
        <x:f>VLOOKUP(A44,'用例设计'!$A$6:$K$84,4,FALSE)</x:f>
        <x:v>失败重试和死信可追踪</x:v>
      </x:c>
      <x:c r="E44" s="40" t="str">
        <x:v>未执行</x:v>
      </x:c>
      <x:c r="F44" s="40"/>
      <x:c r="G44" s="40"/>
      <x:c r="H44" s="45"/>
      <x:c r="I44" s="40"/>
      <x:c r="J44" s="40"/>
      <x:c r="K44" s="40"/>
      <x:c r="L44" s="40"/>
    </x:row>
    <x:row r="45" ht="61" customHeight="1">
      <x:c r="A45" s="40" t="str">
        <x:v>TC-DBG-01-01</x:v>
      </x:c>
      <x:c r="B45" s="40" t="str">
        <x:f>VLOOKUP(A45,'用例设计'!$A$6:$K$84,2,FALSE)</x:f>
        <x:v>设备调试</x:v>
      </x:c>
      <x:c r="C45" s="40" t="str">
        <x:f>VLOOKUP(A45,'用例设计'!$A$6:$K$84,3,FALSE)</x:f>
        <x:v>P0</x:v>
      </x:c>
      <x:c r="D45" s="40" t="str">
        <x:f>VLOOKUP(A45,'用例设计'!$A$6:$K$84,4,FALSE)</x:f>
        <x:v>模拟器读取与确认写入</x:v>
      </x:c>
      <x:c r="E45" s="40" t="str">
        <x:v>未执行</x:v>
      </x:c>
      <x:c r="F45" s="40"/>
      <x:c r="G45" s="40"/>
      <x:c r="H45" s="45"/>
      <x:c r="I45" s="40"/>
      <x:c r="J45" s="40"/>
      <x:c r="K45" s="40"/>
      <x:c r="L45" s="40"/>
    </x:row>
    <x:row r="46" ht="61" customHeight="1">
      <x:c r="A46" s="40" t="str">
        <x:v>TC-DBG-01-02</x:v>
      </x:c>
      <x:c r="B46" s="40" t="str">
        <x:f>VLOOKUP(A46,'用例设计'!$A$6:$K$84,2,FALSE)</x:f>
        <x:v>设备调试</x:v>
      </x:c>
      <x:c r="C46" s="40" t="str">
        <x:f>VLOOKUP(A46,'用例设计'!$A$6:$K$84,3,FALSE)</x:f>
        <x:v>P0</x:v>
      </x:c>
      <x:c r="D46" s="40" t="str">
        <x:f>VLOOKUP(A46,'用例设计'!$A$6:$K$84,4,FALSE)</x:f>
        <x:v>写入值不同于观测值仍如实记录</x:v>
      </x:c>
      <x:c r="E46" s="40" t="str">
        <x:v>未执行</x:v>
      </x:c>
      <x:c r="F46" s="40"/>
      <x:c r="G46" s="40"/>
      <x:c r="H46" s="45"/>
      <x:c r="I46" s="40"/>
      <x:c r="J46" s="40"/>
      <x:c r="K46" s="40"/>
      <x:c r="L46" s="40"/>
    </x:row>
    <x:row r="47" ht="61" customHeight="1">
      <x:c r="A47" s="40" t="str">
        <x:v>TC-DBG-01-03</x:v>
      </x:c>
      <x:c r="B47" s="40" t="str">
        <x:f>VLOOKUP(A47,'用例设计'!$A$6:$K$84,2,FALSE)</x:f>
        <x:v>设备调试</x:v>
      </x:c>
      <x:c r="C47" s="40" t="str">
        <x:f>VLOOKUP(A47,'用例设计'!$A$6:$K$84,3,FALSE)</x:f>
        <x:v>P0</x:v>
      </x:c>
      <x:c r="D47" s="40" t="str">
        <x:f>VLOOKUP(A47,'用例设计'!$A$6:$K$84,4,FALSE)</x:f>
        <x:v>只读节点及越权写入拒绝</x:v>
      </x:c>
      <x:c r="E47" s="40" t="str">
        <x:v>未执行</x:v>
      </x:c>
      <x:c r="F47" s="40"/>
      <x:c r="G47" s="40"/>
      <x:c r="H47" s="45"/>
      <x:c r="I47" s="40"/>
      <x:c r="J47" s="40"/>
      <x:c r="K47" s="40"/>
      <x:c r="L47" s="40"/>
    </x:row>
    <x:row r="48" ht="61" customHeight="1">
      <x:c r="A48" s="40" t="str">
        <x:v>TC-DBG-01-04</x:v>
      </x:c>
      <x:c r="B48" s="40" t="str">
        <x:f>VLOOKUP(A48,'用例设计'!$A$6:$K$84,2,FALSE)</x:f>
        <x:v>设备调试</x:v>
      </x:c>
      <x:c r="C48" s="40" t="str">
        <x:f>VLOOKUP(A48,'用例设计'!$A$6:$K$84,3,FALSE)</x:f>
        <x:v>P0</x:v>
      </x:c>
      <x:c r="D48" s="40" t="str">
        <x:f>VLOOKUP(A48,'用例设计'!$A$6:$K$84,4,FALSE)</x:f>
        <x:v>恢复写前快照</x:v>
      </x:c>
      <x:c r="E48" s="40" t="str">
        <x:v>未执行</x:v>
      </x:c>
      <x:c r="F48" s="40"/>
      <x:c r="G48" s="40"/>
      <x:c r="H48" s="45"/>
      <x:c r="I48" s="40"/>
      <x:c r="J48" s="40"/>
      <x:c r="K48" s="40"/>
      <x:c r="L48" s="40"/>
    </x:row>
    <x:row r="49" ht="61" customHeight="1">
      <x:c r="A49" s="40" t="str">
        <x:v>TC-DBG-02-01</x:v>
      </x:c>
      <x:c r="B49" s="40" t="str">
        <x:f>VLOOKUP(A49,'用例设计'!$A$6:$K$84,2,FALSE)</x:f>
        <x:v>设备调试</x:v>
      </x:c>
      <x:c r="C49" s="40" t="str">
        <x:f>VLOOKUP(A49,'用例设计'!$A$6:$K$84,3,FALSE)</x:f>
        <x:v>P0</x:v>
      </x:c>
      <x:c r="D49" s="40" t="str">
        <x:f>VLOOKUP(A49,'用例设计'!$A$6:$K$84,4,FALSE)</x:f>
        <x:v>编译或预检失败阻止部署</x:v>
      </x:c>
      <x:c r="E49" s="40" t="str">
        <x:v>未执行</x:v>
      </x:c>
      <x:c r="F49" s="40"/>
      <x:c r="G49" s="40"/>
      <x:c r="H49" s="45"/>
      <x:c r="I49" s="40"/>
      <x:c r="J49" s="40"/>
      <x:c r="K49" s="40"/>
      <x:c r="L49" s="40"/>
    </x:row>
    <x:row r="50" ht="61" customHeight="1">
      <x:c r="A50" s="40" t="str">
        <x:v>TC-DBG-02-02</x:v>
      </x:c>
      <x:c r="B50" s="40" t="str">
        <x:f>VLOOKUP(A50,'用例设计'!$A$6:$K$84,2,FALSE)</x:f>
        <x:v>设备调试</x:v>
      </x:c>
      <x:c r="C50" s="40" t="str">
        <x:f>VLOOKUP(A50,'用例设计'!$A$6:$K$84,3,FALSE)</x:f>
        <x:v>P0</x:v>
      </x:c>
      <x:c r="D50" s="40" t="str">
        <x:f>VLOOKUP(A50,'用例设计'!$A$6:$K$84,4,FALSE)</x:f>
        <x:v>缺少能力或确认阻止部署</x:v>
      </x:c>
      <x:c r="E50" s="40" t="str">
        <x:v>未执行</x:v>
      </x:c>
      <x:c r="F50" s="40"/>
      <x:c r="G50" s="40"/>
      <x:c r="H50" s="45"/>
      <x:c r="I50" s="40"/>
      <x:c r="J50" s="40"/>
      <x:c r="K50" s="40"/>
      <x:c r="L50" s="40"/>
    </x:row>
    <x:row r="51" ht="61" customHeight="1">
      <x:c r="A51" s="40" t="str">
        <x:v>TC-DBG-02-03</x:v>
      </x:c>
      <x:c r="B51" s="40" t="str">
        <x:f>VLOOKUP(A51,'用例设计'!$A$6:$K$84,2,FALSE)</x:f>
        <x:v>设备调试</x:v>
      </x:c>
      <x:c r="C51" s="40" t="str">
        <x:f>VLOOKUP(A51,'用例设计'!$A$6:$K$84,3,FALSE)</x:f>
        <x:v>P0</x:v>
      </x:c>
      <x:c r="D51" s="40" t="str">
        <x:f>VLOOKUP(A51,'用例设计'!$A$6:$K$84,4,FALSE)</x:f>
        <x:v>合法重载保留完整快照</x:v>
      </x:c>
      <x:c r="E51" s="40" t="str">
        <x:v>未执行</x:v>
      </x:c>
      <x:c r="F51" s="40"/>
      <x:c r="G51" s="40"/>
      <x:c r="H51" s="45"/>
      <x:c r="I51" s="40"/>
      <x:c r="J51" s="40"/>
      <x:c r="K51" s="40"/>
      <x:c r="L51" s="40"/>
    </x:row>
    <x:row r="52" ht="61" customHeight="1">
      <x:c r="A52" s="40" t="str">
        <x:v>TC-DBG-02-04</x:v>
      </x:c>
      <x:c r="B52" s="40" t="str">
        <x:f>VLOOKUP(A52,'用例设计'!$A$6:$K$84,2,FALSE)</x:f>
        <x:v>设备调试</x:v>
      </x:c>
      <x:c r="C52" s="40" t="str">
        <x:f>VLOOKUP(A52,'用例设计'!$A$6:$K$84,3,FALSE)</x:f>
        <x:v>P0</x:v>
      </x:c>
      <x:c r="D52" s="40" t="str">
        <x:f>VLOOKUP(A52,'用例设计'!$A$6:$K$84,4,FALSE)</x:f>
        <x:v>不可观测状态保持 unverifiable</x:v>
      </x:c>
      <x:c r="E52" s="40" t="str">
        <x:v>未执行</x:v>
      </x:c>
      <x:c r="F52" s="40"/>
      <x:c r="G52" s="40"/>
      <x:c r="H52" s="45"/>
      <x:c r="I52" s="40"/>
      <x:c r="J52" s="40"/>
      <x:c r="K52" s="40"/>
      <x:c r="L52" s="40"/>
    </x:row>
    <x:row r="53" ht="61" customHeight="1">
      <x:c r="A53" s="40" t="str">
        <x:v>TC-DBG-02-05</x:v>
      </x:c>
      <x:c r="B53" s="40" t="str">
        <x:f>VLOOKUP(A53,'用例设计'!$A$6:$K$84,2,FALSE)</x:f>
        <x:v>设备调试</x:v>
      </x:c>
      <x:c r="C53" s="40" t="str">
        <x:f>VLOOKUP(A53,'用例设计'!$A$6:$K$84,3,FALSE)</x:f>
        <x:v>P0</x:v>
      </x:c>
      <x:c r="D53" s="40" t="str">
        <x:f>VLOOKUP(A53,'用例设计'!$A$6:$K$84,4,FALSE)</x:f>
        <x:v>恢复失败保留残留</x:v>
      </x:c>
      <x:c r="E53" s="40" t="str">
        <x:v>未执行</x:v>
      </x:c>
      <x:c r="F53" s="40"/>
      <x:c r="G53" s="40"/>
      <x:c r="H53" s="45"/>
      <x:c r="I53" s="40"/>
      <x:c r="J53" s="40"/>
      <x:c r="K53" s="40"/>
      <x:c r="L53" s="40"/>
    </x:row>
    <x:row r="54" ht="61" customHeight="1">
      <x:c r="A54" s="40" t="str">
        <x:v>TC-DBG-02-06</x:v>
      </x:c>
      <x:c r="B54" s="40" t="str">
        <x:f>VLOOKUP(A54,'用例设计'!$A$6:$K$84,2,FALSE)</x:f>
        <x:v>设备调试</x:v>
      </x:c>
      <x:c r="C54" s="40" t="str">
        <x:f>VLOOKUP(A54,'用例设计'!$A$6:$K$84,3,FALSE)</x:f>
        <x:v>P0</x:v>
      </x:c>
      <x:c r="D54" s="40" t="str">
        <x:f>VLOOKUP(A54,'用例设计'!$A$6:$K$84,4,FALSE)</x:f>
        <x:v>敏感及 Agent 来源门禁</x:v>
      </x:c>
      <x:c r="E54" s="40" t="str">
        <x:v>未执行</x:v>
      </x:c>
      <x:c r="F54" s="40"/>
      <x:c r="G54" s="40"/>
      <x:c r="H54" s="45"/>
      <x:c r="I54" s="40"/>
      <x:c r="J54" s="40"/>
      <x:c r="K54" s="40"/>
      <x:c r="L54" s="40"/>
    </x:row>
    <x:row r="55" ht="61" customHeight="1">
      <x:c r="A55" s="40" t="str">
        <x:v>TC-AUTH-01-01</x:v>
      </x:c>
      <x:c r="B55" s="40" t="str">
        <x:f>VLOOKUP(A55,'用例设计'!$A$6:$K$84,2,FALSE)</x:f>
        <x:v>身份与安全</x:v>
      </x:c>
      <x:c r="C55" s="40" t="str">
        <x:f>VLOOKUP(A55,'用例设计'!$A$6:$K$84,3,FALSE)</x:f>
        <x:v>P0</x:v>
      </x:c>
      <x:c r="D55" s="40" t="str">
        <x:f>VLOOKUP(A55,'用例设计'!$A$6:$K$84,4,FALSE)</x:f>
        <x:v>未认证请求被拒绝</x:v>
      </x:c>
      <x:c r="E55" s="40" t="str">
        <x:v>未执行</x:v>
      </x:c>
      <x:c r="F55" s="40"/>
      <x:c r="G55" s="40"/>
      <x:c r="H55" s="45"/>
      <x:c r="I55" s="40"/>
      <x:c r="J55" s="40"/>
      <x:c r="K55" s="40"/>
      <x:c r="L55" s="40"/>
    </x:row>
    <x:row r="56" ht="61" customHeight="1">
      <x:c r="A56" s="40" t="str">
        <x:v>TC-AUTH-01-02</x:v>
      </x:c>
      <x:c r="B56" s="40" t="str">
        <x:f>VLOOKUP(A56,'用例设计'!$A$6:$K$84,2,FALSE)</x:f>
        <x:v>身份与安全</x:v>
      </x:c>
      <x:c r="C56" s="40" t="str">
        <x:f>VLOOKUP(A56,'用例设计'!$A$6:$K$84,3,FALSE)</x:f>
        <x:v>P0</x:v>
      </x:c>
      <x:c r="D56" s="40" t="str">
        <x:f>VLOOKUP(A56,'用例设计'!$A$6:$K$84,4,FALSE)</x:f>
        <x:v>组织隔离与角色限制</x:v>
      </x:c>
      <x:c r="E56" s="40" t="str">
        <x:v>未执行</x:v>
      </x:c>
      <x:c r="F56" s="40"/>
      <x:c r="G56" s="40"/>
      <x:c r="H56" s="45"/>
      <x:c r="I56" s="40"/>
      <x:c r="J56" s="40"/>
      <x:c r="K56" s="40"/>
      <x:c r="L56" s="40"/>
    </x:row>
    <x:row r="57" ht="61" customHeight="1">
      <x:c r="A57" s="40" t="str">
        <x:v>TC-AUTH-01-03</x:v>
      </x:c>
      <x:c r="B57" s="40" t="str">
        <x:f>VLOOKUP(A57,'用例设计'!$A$6:$K$84,2,FALSE)</x:f>
        <x:v>身份与安全</x:v>
      </x:c>
      <x:c r="C57" s="40" t="str">
        <x:f>VLOOKUP(A57,'用例设计'!$A$6:$K$84,3,FALSE)</x:f>
        <x:v>P0</x:v>
      </x:c>
      <x:c r="D57" s="40" t="str">
        <x:f>VLOOKUP(A57,'用例设计'!$A$6:$K$84,4,FALSE)</x:f>
        <x:v>账号停用撤销访问</x:v>
      </x:c>
      <x:c r="E57" s="40" t="str">
        <x:v>未执行</x:v>
      </x:c>
      <x:c r="F57" s="40"/>
      <x:c r="G57" s="40"/>
      <x:c r="H57" s="45"/>
      <x:c r="I57" s="40"/>
      <x:c r="J57" s="40"/>
      <x:c r="K57" s="40"/>
      <x:c r="L57" s="40"/>
    </x:row>
    <x:row r="58" ht="61" customHeight="1">
      <x:c r="A58" s="40" t="str">
        <x:v>TC-AUTH-01-04</x:v>
      </x:c>
      <x:c r="B58" s="40" t="str">
        <x:f>VLOOKUP(A58,'用例设计'!$A$6:$K$84,2,FALSE)</x:f>
        <x:v>身份与安全</x:v>
      </x:c>
      <x:c r="C58" s="40" t="str">
        <x:f>VLOOKUP(A58,'用例设计'!$A$6:$K$84,3,FALSE)</x:f>
        <x:v>P0</x:v>
      </x:c>
      <x:c r="D58" s="40" t="str">
        <x:f>VLOOKUP(A58,'用例设计'!$A$6:$K$84,4,FALSE)</x:f>
        <x:v>OIDC 令牌逐项校验</x:v>
      </x:c>
      <x:c r="E58" s="40" t="str">
        <x:v>未执行</x:v>
      </x:c>
      <x:c r="F58" s="40"/>
      <x:c r="G58" s="40"/>
      <x:c r="H58" s="45"/>
      <x:c r="I58" s="40"/>
      <x:c r="J58" s="40"/>
      <x:c r="K58" s="40"/>
      <x:c r="L58" s="40"/>
    </x:row>
    <x:row r="59" ht="61" customHeight="1">
      <x:c r="A59" s="40" t="str">
        <x:v>TC-AUTH-02-01</x:v>
      </x:c>
      <x:c r="B59" s="40" t="str">
        <x:f>VLOOKUP(A59,'用例设计'!$A$6:$K$84,2,FALSE)</x:f>
        <x:v>身份与安全</x:v>
      </x:c>
      <x:c r="C59" s="40" t="str">
        <x:f>VLOOKUP(A59,'用例设计'!$A$6:$K$84,3,FALSE)</x:f>
        <x:v>P0</x:v>
      </x:c>
      <x:c r="D59" s="40" t="str">
        <x:f>VLOOKUP(A59,'用例设计'!$A$6:$K$84,4,FALSE)</x:f>
        <x:v>非管理员及自删拒绝</x:v>
      </x:c>
      <x:c r="E59" s="40" t="str">
        <x:v>未执行</x:v>
      </x:c>
      <x:c r="F59" s="40"/>
      <x:c r="G59" s="40"/>
      <x:c r="H59" s="45"/>
      <x:c r="I59" s="40"/>
      <x:c r="J59" s="40"/>
      <x:c r="K59" s="40"/>
      <x:c r="L59" s="40"/>
    </x:row>
    <x:row r="60" ht="61" customHeight="1">
      <x:c r="A60" s="40" t="str">
        <x:v>TC-AUTH-02-02</x:v>
      </x:c>
      <x:c r="B60" s="40" t="str">
        <x:f>VLOOKUP(A60,'用例设计'!$A$6:$K$84,2,FALSE)</x:f>
        <x:v>身份与安全</x:v>
      </x:c>
      <x:c r="C60" s="40" t="str">
        <x:f>VLOOKUP(A60,'用例设计'!$A$6:$K$84,3,FALSE)</x:f>
        <x:v>P0</x:v>
      </x:c>
      <x:c r="D60" s="40" t="str">
        <x:f>VLOOKUP(A60,'用例设计'!$A$6:$K$84,4,FALSE)</x:f>
        <x:v>受保护平台管理员不可越权删除</x:v>
      </x:c>
      <x:c r="E60" s="40" t="str">
        <x:v>未执行</x:v>
      </x:c>
      <x:c r="F60" s="40"/>
      <x:c r="G60" s="40"/>
      <x:c r="H60" s="45"/>
      <x:c r="I60" s="40"/>
      <x:c r="J60" s="40"/>
      <x:c r="K60" s="40"/>
      <x:c r="L60" s="40"/>
    </x:row>
    <x:row r="61" ht="61" customHeight="1">
      <x:c r="A61" s="40" t="str">
        <x:v>TC-AUTH-02-03</x:v>
      </x:c>
      <x:c r="B61" s="40" t="str">
        <x:f>VLOOKUP(A61,'用例设计'!$A$6:$K$84,2,FALSE)</x:f>
        <x:v>身份与安全</x:v>
      </x:c>
      <x:c r="C61" s="40" t="str">
        <x:f>VLOOKUP(A61,'用例设计'!$A$6:$K$84,3,FALSE)</x:f>
        <x:v>P0</x:v>
      </x:c>
      <x:c r="D61" s="40" t="str">
        <x:f>VLOOKUP(A61,'用例设计'!$A$6:$K$84,4,FALSE)</x:f>
        <x:v>合法删除与历史保留</x:v>
      </x:c>
      <x:c r="E61" s="40" t="str">
        <x:v>未执行</x:v>
      </x:c>
      <x:c r="F61" s="40"/>
      <x:c r="G61" s="40"/>
      <x:c r="H61" s="45"/>
      <x:c r="I61" s="40"/>
      <x:c r="J61" s="40"/>
      <x:c r="K61" s="40"/>
      <x:c r="L61" s="40"/>
    </x:row>
    <x:row r="62" ht="61" customHeight="1">
      <x:c r="A62" s="40" t="str">
        <x:v>TC-AGENT-01-01</x:v>
      </x:c>
      <x:c r="B62" s="40" t="str">
        <x:f>VLOOKUP(A62,'用例设计'!$A$6:$K$84,2,FALSE)</x:f>
        <x:v>小泽助手</x:v>
      </x:c>
      <x:c r="C62" s="40" t="str">
        <x:f>VLOOKUP(A62,'用例设计'!$A$6:$K$84,3,FALSE)</x:f>
        <x:v>P0</x:v>
      </x:c>
      <x:c r="D62" s="40" t="str">
        <x:f>VLOOKUP(A62,'用例设计'!$A$6:$K$84,4,FALSE)</x:f>
        <x:v>读工具按范围执行</x:v>
      </x:c>
      <x:c r="E62" s="40" t="str">
        <x:v>未执行</x:v>
      </x:c>
      <x:c r="F62" s="40"/>
      <x:c r="G62" s="40"/>
      <x:c r="H62" s="45"/>
      <x:c r="I62" s="40"/>
      <x:c r="J62" s="40"/>
      <x:c r="K62" s="40"/>
      <x:c r="L62" s="40"/>
    </x:row>
    <x:row r="63" ht="61" customHeight="1">
      <x:c r="A63" s="40" t="str">
        <x:v>TC-AGENT-01-02</x:v>
      </x:c>
      <x:c r="B63" s="40" t="str">
        <x:f>VLOOKUP(A63,'用例设计'!$A$6:$K$84,2,FALSE)</x:f>
        <x:v>小泽助手</x:v>
      </x:c>
      <x:c r="C63" s="40" t="str">
        <x:f>VLOOKUP(A63,'用例设计'!$A$6:$K$84,3,FALSE)</x:f>
        <x:v>P0</x:v>
      </x:c>
      <x:c r="D63" s="40" t="str">
        <x:f>VLOOKUP(A63,'用例设计'!$A$6:$K$84,4,FALSE)</x:f>
        <x:v>待审批和拒绝均不变更</x:v>
      </x:c>
      <x:c r="E63" s="40" t="str">
        <x:v>未执行</x:v>
      </x:c>
      <x:c r="F63" s="40"/>
      <x:c r="G63" s="40"/>
      <x:c r="H63" s="45"/>
      <x:c r="I63" s="40"/>
      <x:c r="J63" s="40"/>
      <x:c r="K63" s="40"/>
      <x:c r="L63" s="40"/>
    </x:row>
    <x:row r="64" ht="61" customHeight="1">
      <x:c r="A64" s="40" t="str">
        <x:v>TC-AGENT-01-03</x:v>
      </x:c>
      <x:c r="B64" s="40" t="str">
        <x:f>VLOOKUP(A64,'用例设计'!$A$6:$K$84,2,FALSE)</x:f>
        <x:v>小泽助手</x:v>
      </x:c>
      <x:c r="C64" s="40" t="str">
        <x:f>VLOOKUP(A64,'用例设计'!$A$6:$K$84,3,FALSE)</x:f>
        <x:v>P0</x:v>
      </x:c>
      <x:c r="D64" s="40" t="str">
        <x:f>VLOOKUP(A64,'用例设计'!$A$6:$K$84,4,FALSE)</x:f>
        <x:v>审批后仅执行一次</x:v>
      </x:c>
      <x:c r="E64" s="40" t="str">
        <x:v>未执行</x:v>
      </x:c>
      <x:c r="F64" s="40"/>
      <x:c r="G64" s="40"/>
      <x:c r="H64" s="45"/>
      <x:c r="I64" s="40"/>
      <x:c r="J64" s="40"/>
      <x:c r="K64" s="40"/>
      <x:c r="L64" s="40"/>
    </x:row>
    <x:row r="65" ht="61" customHeight="1">
      <x:c r="A65" s="40" t="str">
        <x:v>TC-AGENT-01-04</x:v>
      </x:c>
      <x:c r="B65" s="40" t="str">
        <x:f>VLOOKUP(A65,'用例设计'!$A$6:$K$84,2,FALSE)</x:f>
        <x:v>小泽助手</x:v>
      </x:c>
      <x:c r="C65" s="40" t="str">
        <x:f>VLOOKUP(A65,'用例设计'!$A$6:$K$84,3,FALSE)</x:f>
        <x:v>P0</x:v>
      </x:c>
      <x:c r="D65" s="40" t="str">
        <x:f>VLOOKUP(A65,'用例设计'!$A$6:$K$84,4,FALSE)</x:f>
        <x:v>批准前撤权或改参数重校验</x:v>
      </x:c>
      <x:c r="E65" s="40" t="str">
        <x:v>未执行</x:v>
      </x:c>
      <x:c r="F65" s="40"/>
      <x:c r="G65" s="40"/>
      <x:c r="H65" s="45"/>
      <x:c r="I65" s="40"/>
      <x:c r="J65" s="40"/>
      <x:c r="K65" s="40"/>
      <x:c r="L65" s="40"/>
    </x:row>
    <x:row r="66" ht="61" customHeight="1">
      <x:c r="A66" s="40" t="str">
        <x:v>TC-AGENT-02-01</x:v>
      </x:c>
      <x:c r="B66" s="40" t="str">
        <x:f>VLOOKUP(A66,'用例设计'!$A$6:$K$84,2,FALSE)</x:f>
        <x:v>小泽助手</x:v>
      </x:c>
      <x:c r="C66" s="40" t="str">
        <x:f>VLOOKUP(A66,'用例设计'!$A$6:$K$84,3,FALSE)</x:f>
        <x:v>P0</x:v>
      </x:c>
      <x:c r="D66" s="40" t="str">
        <x:f>VLOOKUP(A66,'用例设计'!$A$6:$K$84,4,FALSE)</x:f>
        <x:v>新实例读取中断并恢复</x:v>
      </x:c>
      <x:c r="E66" s="40" t="str">
        <x:v>未执行</x:v>
      </x:c>
      <x:c r="F66" s="40"/>
      <x:c r="G66" s="40"/>
      <x:c r="H66" s="45"/>
      <x:c r="I66" s="40"/>
      <x:c r="J66" s="40"/>
      <x:c r="K66" s="40"/>
      <x:c r="L66" s="40"/>
    </x:row>
    <x:row r="67" ht="61" customHeight="1">
      <x:c r="A67" s="40" t="str">
        <x:v>TC-AGENT-02-02</x:v>
      </x:c>
      <x:c r="B67" s="40" t="str">
        <x:f>VLOOKUP(A67,'用例设计'!$A$6:$K$84,2,FALSE)</x:f>
        <x:v>小泽助手</x:v>
      </x:c>
      <x:c r="C67" s="40" t="str">
        <x:f>VLOOKUP(A67,'用例设计'!$A$6:$K$84,3,FALSE)</x:f>
        <x:v>P0</x:v>
      </x:c>
      <x:c r="D67" s="40" t="str">
        <x:f>VLOOKUP(A67,'用例设计'!$A$6:$K$84,4,FALSE)</x:f>
        <x:v>恢复接口重新认证授权</x:v>
      </x:c>
      <x:c r="E67" s="40" t="str">
        <x:v>未执行</x:v>
      </x:c>
      <x:c r="F67" s="40"/>
      <x:c r="G67" s="40"/>
      <x:c r="H67" s="45"/>
      <x:c r="I67" s="40"/>
      <x:c r="J67" s="40"/>
      <x:c r="K67" s="40"/>
      <x:c r="L67" s="40"/>
    </x:row>
    <x:row r="68" ht="61" customHeight="1">
      <x:c r="A68" s="40" t="str">
        <x:v>TC-KB-01-01</x:v>
      </x:c>
      <x:c r="B68" s="40" t="str">
        <x:f>VLOOKUP(A68,'用例设计'!$A$6:$K$84,2,FALSE)</x:f>
        <x:v>知识库</x:v>
      </x:c>
      <x:c r="C68" s="40" t="str">
        <x:f>VLOOKUP(A68,'用例设计'!$A$6:$K$84,3,FALSE)</x:f>
        <x:v>P1</x:v>
      </x:c>
      <x:c r="D68" s="40" t="str">
        <x:f>VLOOKUP(A68,'用例设计'!$A$6:$K$84,4,FALSE)</x:f>
        <x:v>发布后检索与引用可追溯</x:v>
      </x:c>
      <x:c r="E68" s="40" t="str">
        <x:v>未执行</x:v>
      </x:c>
      <x:c r="F68" s="40"/>
      <x:c r="G68" s="40"/>
      <x:c r="H68" s="45"/>
      <x:c r="I68" s="40"/>
      <x:c r="J68" s="40"/>
      <x:c r="K68" s="40"/>
      <x:c r="L68" s="40"/>
    </x:row>
    <x:row r="69" ht="61" customHeight="1">
      <x:c r="A69" s="40" t="str">
        <x:v>TC-KB-01-02</x:v>
      </x:c>
      <x:c r="B69" s="40" t="str">
        <x:f>VLOOKUP(A69,'用例设计'!$A$6:$K$84,2,FALSE)</x:f>
        <x:v>知识库</x:v>
      </x:c>
      <x:c r="C69" s="40" t="str">
        <x:f>VLOOKUP(A69,'用例设计'!$A$6:$K$84,3,FALSE)</x:f>
        <x:v>P0</x:v>
      </x:c>
      <x:c r="D69" s="40" t="str">
        <x:f>VLOOKUP(A69,'用例设计'!$A$6:$K$84,4,FALSE)</x:f>
        <x:v>草稿归档与跨组织内容不泄漏</x:v>
      </x:c>
      <x:c r="E69" s="40" t="str">
        <x:v>未执行</x:v>
      </x:c>
      <x:c r="F69" s="40"/>
      <x:c r="G69" s="40"/>
      <x:c r="H69" s="45"/>
      <x:c r="I69" s="40"/>
      <x:c r="J69" s="40"/>
      <x:c r="K69" s="40"/>
      <x:c r="L69" s="40"/>
    </x:row>
    <x:row r="70" ht="61" customHeight="1">
      <x:c r="A70" s="40" t="str">
        <x:v>TC-KB-01-03</x:v>
      </x:c>
      <x:c r="B70" s="40" t="str">
        <x:f>VLOOKUP(A70,'用例设计'!$A$6:$K$84,2,FALSE)</x:f>
        <x:v>知识库</x:v>
      </x:c>
      <x:c r="C70" s="40" t="str">
        <x:f>VLOOKUP(A70,'用例设计'!$A$6:$K$84,3,FALSE)</x:f>
        <x:v>P1</x:v>
      </x:c>
      <x:c r="D70" s="40" t="str">
        <x:f>VLOOKUP(A70,'用例设计'!$A$6:$K$84,4,FALSE)</x:f>
        <x:v>嵌入不可用回退全文</x:v>
      </x:c>
      <x:c r="E70" s="40" t="str">
        <x:v>未执行</x:v>
      </x:c>
      <x:c r="F70" s="40"/>
      <x:c r="G70" s="40"/>
      <x:c r="H70" s="45"/>
      <x:c r="I70" s="40"/>
      <x:c r="J70" s="40"/>
      <x:c r="K70" s="40"/>
      <x:c r="L70" s="40"/>
    </x:row>
    <x:row r="71" ht="61" customHeight="1">
      <x:c r="A71" s="40" t="str">
        <x:v>TC-KB-01-04</x:v>
      </x:c>
      <x:c r="B71" s="40" t="str">
        <x:f>VLOOKUP(A71,'用例设计'!$A$6:$K$84,2,FALSE)</x:f>
        <x:v>知识库</x:v>
      </x:c>
      <x:c r="C71" s="40" t="str">
        <x:f>VLOOKUP(A71,'用例设计'!$A$6:$K$84,3,FALSE)</x:f>
        <x:v>P1</x:v>
      </x:c>
      <x:c r="D71" s="40" t="str">
        <x:f>VLOOKUP(A71,'用例设计'!$A$6:$K$84,4,FALSE)</x:f>
        <x:v>索引失败可恢复</x:v>
      </x:c>
      <x:c r="E71" s="40" t="str">
        <x:v>未执行</x:v>
      </x:c>
      <x:c r="F71" s="40"/>
      <x:c r="G71" s="40"/>
      <x:c r="H71" s="45"/>
      <x:c r="I71" s="40"/>
      <x:c r="J71" s="40"/>
      <x:c r="K71" s="40"/>
      <x:c r="L71" s="40"/>
    </x:row>
    <x:row r="72" ht="61" customHeight="1">
      <x:c r="A72" s="40" t="str">
        <x:v>TC-FEEDBACK-01-01</x:v>
      </x:c>
      <x:c r="B72" s="40" t="str">
        <x:f>VLOOKUP(A72,'用例设计'!$A$6:$K$84,2,FALSE)</x:f>
        <x:v>反馈</x:v>
      </x:c>
      <x:c r="C72" s="40" t="str">
        <x:f>VLOOKUP(A72,'用例设计'!$A$6:$K$84,3,FALSE)</x:f>
        <x:v>P1</x:v>
      </x:c>
      <x:c r="D72" s="40" t="str">
        <x:f>VLOOKUP(A72,'用例设计'!$A$6:$K$84,4,FALSE)</x:f>
        <x:v>提交反馈及图片持久化</x:v>
      </x:c>
      <x:c r="E72" s="40" t="str">
        <x:v>未执行</x:v>
      </x:c>
      <x:c r="F72" s="40"/>
      <x:c r="G72" s="40"/>
      <x:c r="H72" s="45"/>
      <x:c r="I72" s="40"/>
      <x:c r="J72" s="40"/>
      <x:c r="K72" s="40"/>
      <x:c r="L72" s="40"/>
    </x:row>
    <x:row r="73" ht="61" customHeight="1">
      <x:c r="A73" s="40" t="str">
        <x:v>TC-FEEDBACK-01-02</x:v>
      </x:c>
      <x:c r="B73" s="40" t="str">
        <x:f>VLOOKUP(A73,'用例设计'!$A$6:$K$84,2,FALSE)</x:f>
        <x:v>反馈</x:v>
      </x:c>
      <x:c r="C73" s="40" t="str">
        <x:f>VLOOKUP(A73,'用例设计'!$A$6:$K$84,3,FALSE)</x:f>
        <x:v>P1</x:v>
      </x:c>
      <x:c r="D73" s="40" t="str">
        <x:f>VLOOKUP(A73,'用例设计'!$A$6:$K$84,4,FALSE)</x:f>
        <x:v>管理员处理状态持久化</x:v>
      </x:c>
      <x:c r="E73" s="40" t="str">
        <x:v>未执行</x:v>
      </x:c>
      <x:c r="F73" s="40"/>
      <x:c r="G73" s="40"/>
      <x:c r="H73" s="45"/>
      <x:c r="I73" s="40"/>
      <x:c r="J73" s="40"/>
      <x:c r="K73" s="40"/>
      <x:c r="L73" s="40"/>
    </x:row>
    <x:row r="74" ht="61" customHeight="1">
      <x:c r="A74" s="40" t="str">
        <x:v>TC-FEEDBACK-01-03</x:v>
      </x:c>
      <x:c r="B74" s="40" t="str">
        <x:f>VLOOKUP(A74,'用例设计'!$A$6:$K$84,2,FALSE)</x:f>
        <x:v>反馈</x:v>
      </x:c>
      <x:c r="C74" s="40" t="str">
        <x:f>VLOOKUP(A74,'用例设计'!$A$6:$K$84,3,FALSE)</x:f>
        <x:v>P0</x:v>
      </x:c>
      <x:c r="D74" s="40" t="str">
        <x:f>VLOOKUP(A74,'用例设计'!$A$6:$K$84,4,FALSE)</x:f>
        <x:v>普通用户不可管理反馈</x:v>
      </x:c>
      <x:c r="E74" s="40" t="str">
        <x:v>未执行</x:v>
      </x:c>
      <x:c r="F74" s="40"/>
      <x:c r="G74" s="40"/>
      <x:c r="H74" s="45"/>
      <x:c r="I74" s="40"/>
      <x:c r="J74" s="40"/>
      <x:c r="K74" s="40"/>
      <x:c r="L74" s="40"/>
    </x:row>
    <x:row r="75" ht="61" customHeight="1">
      <x:c r="A75" s="40" t="str">
        <x:v>TC-NOTIF-01-01</x:v>
      </x:c>
      <x:c r="B75" s="40" t="str">
        <x:f>VLOOKUP(A75,'用例设计'!$A$6:$K$84,2,FALSE)</x:f>
        <x:v>通知</x:v>
      </x:c>
      <x:c r="C75" s="40" t="str">
        <x:f>VLOOKUP(A75,'用例设计'!$A$6:$K$84,3,FALSE)</x:f>
        <x:v>P1</x:v>
      </x:c>
      <x:c r="D75" s="40" t="str">
        <x:f>VLOOKUP(A75,'用例设计'!$A$6:$K$84,4,FALSE)</x:f>
        <x:v>已读与未读数持久化</x:v>
      </x:c>
      <x:c r="E75" s="40" t="str">
        <x:v>未执行</x:v>
      </x:c>
      <x:c r="F75" s="40"/>
      <x:c r="G75" s="40"/>
      <x:c r="H75" s="45"/>
      <x:c r="I75" s="40"/>
      <x:c r="J75" s="40"/>
      <x:c r="K75" s="40"/>
      <x:c r="L75" s="40"/>
    </x:row>
    <x:row r="76" ht="61" customHeight="1">
      <x:c r="A76" s="40" t="str">
        <x:v>TC-NOTIF-01-02</x:v>
      </x:c>
      <x:c r="B76" s="40" t="str">
        <x:f>VLOOKUP(A76,'用例设计'!$A$6:$K$84,2,FALSE)</x:f>
        <x:v>通知</x:v>
      </x:c>
      <x:c r="C76" s="40" t="str">
        <x:f>VLOOKUP(A76,'用例设计'!$A$6:$K$84,3,FALSE)</x:f>
        <x:v>P0</x:v>
      </x:c>
      <x:c r="D76" s="40" t="str">
        <x:f>VLOOKUP(A76,'用例设计'!$A$6:$K$84,4,FALSE)</x:f>
        <x:v>通知与深链接按用户授权</x:v>
      </x:c>
      <x:c r="E76" s="40" t="str">
        <x:v>未执行</x:v>
      </x:c>
      <x:c r="F76" s="40"/>
      <x:c r="G76" s="40"/>
      <x:c r="H76" s="45"/>
      <x:c r="I76" s="40"/>
      <x:c r="J76" s="40"/>
      <x:c r="K76" s="40"/>
      <x:c r="L76" s="40"/>
    </x:row>
    <x:row r="77" ht="61" customHeight="1">
      <x:c r="A77" s="40" t="str">
        <x:v>TC-UI-01-01</x:v>
      </x:c>
      <x:c r="B77" s="40" t="str">
        <x:f>VLOOKUP(A77,'用例设计'!$A$6:$K$84,2,FALSE)</x:f>
        <x:v>界面与导航</x:v>
      </x:c>
      <x:c r="C77" s="40" t="str">
        <x:f>VLOOKUP(A77,'用例设计'!$A$6:$K$84,3,FALSE)</x:f>
        <x:v>P1</x:v>
      </x:c>
      <x:c r="D77" s="40" t="str">
        <x:f>VLOOKUP(A77,'用例设计'!$A$6:$K$84,4,FALSE)</x:f>
        <x:v>导航与深链接一致</x:v>
      </x:c>
      <x:c r="E77" s="40" t="str">
        <x:v>未执行</x:v>
      </x:c>
      <x:c r="F77" s="40"/>
      <x:c r="G77" s="40"/>
      <x:c r="H77" s="45"/>
      <x:c r="I77" s="40"/>
      <x:c r="J77" s="40"/>
      <x:c r="K77" s="40"/>
      <x:c r="L77" s="40"/>
    </x:row>
    <x:row r="78" ht="61" customHeight="1">
      <x:c r="A78" s="40" t="str">
        <x:v>TC-UI-01-02</x:v>
      </x:c>
      <x:c r="B78" s="40" t="str">
        <x:f>VLOOKUP(A78,'用例设计'!$A$6:$K$84,2,FALSE)</x:f>
        <x:v>界面与导航</x:v>
      </x:c>
      <x:c r="C78" s="40" t="str">
        <x:f>VLOOKUP(A78,'用例设计'!$A$6:$K$84,3,FALSE)</x:f>
        <x:v>P1</x:v>
      </x:c>
      <x:c r="D78" s="40" t="str">
        <x:f>VLOOKUP(A78,'用例设计'!$A$6:$K$84,4,FALSE)</x:f>
        <x:v>加载空态及错误可区分</x:v>
      </x:c>
      <x:c r="E78" s="40" t="str">
        <x:v>未执行</x:v>
      </x:c>
      <x:c r="F78" s="40"/>
      <x:c r="G78" s="40"/>
      <x:c r="H78" s="45"/>
      <x:c r="I78" s="40"/>
      <x:c r="J78" s="40"/>
      <x:c r="K78" s="40"/>
      <x:c r="L78" s="40"/>
    </x:row>
    <x:row r="79" ht="61" customHeight="1">
      <x:c r="A79" s="40" t="str">
        <x:v>TC-UI-01-03</x:v>
      </x:c>
      <x:c r="B79" s="40" t="str">
        <x:f>VLOOKUP(A79,'用例设计'!$A$6:$K$84,2,FALSE)</x:f>
        <x:v>界面与导航</x:v>
      </x:c>
      <x:c r="C79" s="40" t="str">
        <x:f>VLOOKUP(A79,'用例设计'!$A$6:$K$84,3,FALSE)</x:f>
        <x:v>P1</x:v>
      </x:c>
      <x:c r="D79" s="40" t="str">
        <x:f>VLOOKUP(A79,'用例设计'!$A$6:$K$84,4,FALSE)</x:f>
        <x:v>三种视口布局可操作</x:v>
      </x:c>
      <x:c r="E79" s="40" t="str">
        <x:v>未执行</x:v>
      </x:c>
      <x:c r="F79" s="40"/>
      <x:c r="G79" s="40"/>
      <x:c r="H79" s="45"/>
      <x:c r="I79" s="40"/>
      <x:c r="J79" s="40"/>
      <x:c r="K79" s="40"/>
      <x:c r="L79" s="40"/>
    </x:row>
    <x:row r="80" ht="61" customHeight="1">
      <x:c r="A80" s="40" t="str">
        <x:v>TC-UI-01-04</x:v>
      </x:c>
      <x:c r="B80" s="40" t="str">
        <x:f>VLOOKUP(A80,'用例设计'!$A$6:$K$84,2,FALSE)</x:f>
        <x:v>界面与导航</x:v>
      </x:c>
      <x:c r="C80" s="40" t="str">
        <x:f>VLOOKUP(A80,'用例设计'!$A$6:$K$84,3,FALSE)</x:f>
        <x:v>P1</x:v>
      </x:c>
      <x:c r="D80" s="40" t="str">
        <x:f>VLOOKUP(A80,'用例设计'!$A$6:$K$84,4,FALSE)</x:f>
        <x:v>键盘与焦点流程</x:v>
      </x:c>
      <x:c r="E80" s="40" t="str">
        <x:v>未执行</x:v>
      </x:c>
      <x:c r="F80" s="40"/>
      <x:c r="G80" s="40"/>
      <x:c r="H80" s="45"/>
      <x:c r="I80" s="40"/>
      <x:c r="J80" s="40"/>
      <x:c r="K80" s="40"/>
      <x:c r="L80" s="40"/>
    </x:row>
    <x:row r="81" ht="61" customHeight="1">
      <x:c r="A81" s="40" t="str">
        <x:v>TC-OPS-01-01</x:v>
      </x:c>
      <x:c r="B81" s="40" t="str">
        <x:f>VLOOKUP(A81,'用例设计'!$A$6:$K$84,2,FALSE)</x:f>
        <x:v>运行维护</x:v>
      </x:c>
      <x:c r="C81" s="40" t="str">
        <x:f>VLOOKUP(A81,'用例设计'!$A$6:$K$84,3,FALSE)</x:f>
        <x:v>P0</x:v>
      </x:c>
      <x:c r="D81" s="40" t="str">
        <x:f>VLOOKUP(A81,'用例设计'!$A$6:$K$84,4,FALSE)</x:f>
        <x:v>存活与就绪表达真实依赖</x:v>
      </x:c>
      <x:c r="E81" s="40" t="str">
        <x:v>未执行</x:v>
      </x:c>
      <x:c r="F81" s="40"/>
      <x:c r="G81" s="40"/>
      <x:c r="H81" s="45"/>
      <x:c r="I81" s="40"/>
      <x:c r="J81" s="40"/>
      <x:c r="K81" s="40"/>
      <x:c r="L81" s="40"/>
    </x:row>
    <x:row r="82" ht="61" customHeight="1">
      <x:c r="A82" s="40" t="str">
        <x:v>TC-OPS-01-02</x:v>
      </x:c>
      <x:c r="B82" s="40" t="str">
        <x:f>VLOOKUP(A82,'用例设计'!$A$6:$K$84,2,FALSE)</x:f>
        <x:v>运行维护</x:v>
      </x:c>
      <x:c r="C82" s="40" t="str">
        <x:f>VLOOKUP(A82,'用例设计'!$A$6:$K$84,3,FALSE)</x:f>
        <x:v>P0</x:v>
      </x:c>
      <x:c r="D82" s="40" t="str">
        <x:f>VLOOKUP(A82,'用例设计'!$A$6:$K$84,4,FALSE)</x:f>
        <x:v>备份恢复保留数据一致性</x:v>
      </x:c>
      <x:c r="E82" s="40" t="str">
        <x:v>未执行</x:v>
      </x:c>
      <x:c r="F82" s="40"/>
      <x:c r="G82" s="40"/>
      <x:c r="H82" s="45"/>
      <x:c r="I82" s="40"/>
      <x:c r="J82" s="40"/>
      <x:c r="K82" s="40"/>
      <x:c r="L82" s="40"/>
    </x:row>
    <x:row r="83" ht="61" customHeight="1">
      <x:c r="A83" s="40" t="str">
        <x:v>TC-OPS-01-03</x:v>
      </x:c>
      <x:c r="B83" s="40" t="str">
        <x:f>VLOOKUP(A83,'用例设计'!$A$6:$K$84,2,FALSE)</x:f>
        <x:v>运行维护</x:v>
      </x:c>
      <x:c r="C83" s="40" t="str">
        <x:f>VLOOKUP(A83,'用例设计'!$A$6:$K$84,3,FALSE)</x:f>
        <x:v>P0</x:v>
      </x:c>
      <x:c r="D83" s="40" t="str">
        <x:f>VLOOKUP(A83,'用例设计'!$A$6:$K$84,4,FALSE)</x:f>
        <x:v>升级失败按规则回滚</x:v>
      </x:c>
      <x:c r="E83" s="40" t="str">
        <x:v>未执行</x:v>
      </x:c>
      <x:c r="F83" s="40"/>
      <x:c r="G83" s="40"/>
      <x:c r="H83" s="45"/>
      <x:c r="I83" s="40"/>
      <x:c r="J83" s="40"/>
      <x:c r="K83" s="40"/>
      <x:c r="L83" s="40"/>
    </x:row>
    <x:row r="84" ht="61" customHeight="1">
      <x:c r="A84" s="40" t="str">
        <x:v>TC-OPS-01-04</x:v>
      </x:c>
      <x:c r="B84" s="40" t="str">
        <x:f>VLOOKUP(A84,'用例设计'!$A$6:$K$84,2,FALSE)</x:f>
        <x:v>运行维护</x:v>
      </x:c>
      <x:c r="C84" s="40" t="str">
        <x:f>VLOOKUP(A84,'用例设计'!$A$6:$K$84,3,FALSE)</x:f>
        <x:v>P1</x:v>
      </x:c>
      <x:c r="D84" s="40" t="str">
        <x:f>VLOOKUP(A84,'用例设计'!$A$6:$K$84,4,FALSE)</x:f>
        <x:v>目标容量与恢复时间测量</x:v>
      </x:c>
      <x:c r="E84" s="40" t="str">
        <x:v>未执行</x:v>
      </x:c>
      <x:c r="F84" s="40"/>
      <x:c r="G84" s="40"/>
      <x:c r="H84" s="45"/>
      <x:c r="I84" s="40"/>
      <x:c r="J84" s="40"/>
      <x:c r="K84" s="40"/>
      <x:c r="L84" s="40"/>
    </x:row>
  </x:sheetData>
  <x:mergeCells>
    <x:mergeCell ref="A1:L1"/>
    <x:mergeCell ref="A2:L2"/>
    <x:mergeCell ref="A3:L3"/>
  </x:mergeCells>
  <x:dataValidations count="1">
    <x:dataValidation type="list" sqref="E6:E84">
      <x:formula1>"未执行,通过,失败,阻塞,跳过"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5ea1a2a0524829"/>
  </x:tableParts>
</x:worksheet>
</file>

<file path=xl/worksheets/sheet4.xml><?xml version="1.0" encoding="utf-8"?>
<x:worksheet xmlns:x="http://schemas.openxmlformats.org/spreadsheetml/2006/main">
  <x:sheetPr>
    <x:tabColor rgb="FFFFFFF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.4399995803833" hidden="0" customWidth="1"/>
    <x:col min="2" max="2" width="20" hidden="0" customWidth="1"/>
    <x:col min="3" max="3" width="41.11000061035156" hidden="0" customWidth="1"/>
    <x:col min="4" max="4" width="72.22000122070312" hidden="0" customWidth="1"/>
    <x:col min="5" max="5" width="23.329999923706055" hidden="0" customWidth="1"/>
    <x:col min="6" max="6" width="27.780000686645508" hidden="0" customWidth="1"/>
  </x:cols>
  <x:sheetData>
    <x:row r="1" ht="40" customHeight="1">
      <x:c r="A1" s="36" t="str">
        <x:v>测试环境与编制来源</x:v>
      </x:c>
      <x:c r="B1" s="37"/>
      <x:c r="C1" s="37"/>
      <x:c r="D1" s="37"/>
      <x:c r="E1" s="37"/>
      <x:c r="F1" s="37"/>
    </x:row>
    <x:row r="2" ht="34" customHeight="1">
      <x:c r="A2" s="38" t="str">
        <x:v>执行环境由实际运行填写；所列源码用于定位设计，不是本次执行报告。</x:v>
      </x:c>
      <x:c r="B2" s="37"/>
      <x:c r="C2" s="37"/>
      <x:c r="D2" s="37"/>
      <x:c r="E2" s="37"/>
      <x:c r="F2" s="37"/>
    </x:row>
    <x:row r="3" ht="28" customHeight="1">
      <x:c r="A3" s="37"/>
      <x:c r="B3" s="37"/>
      <x:c r="C3" s="37"/>
      <x:c r="D3" s="37"/>
      <x:c r="E3" s="37"/>
      <x:c r="F3" s="37"/>
    </x:row>
    <x:row r="4" ht="32" customHeight="1">
      <x:c r="A4" s="39" t="str">
        <x:v>编号</x:v>
      </x:c>
      <x:c r="B4" s="39" t="str">
        <x:v>环境或资料</x:v>
      </x:c>
      <x:c r="C4" s="39" t="str">
        <x:v>准备及使用范围</x:v>
      </x:c>
      <x:c r="D4" s="39" t="str">
        <x:v>隔离与约束</x:v>
      </x:c>
      <x:c r="E4" s="39" t="str">
        <x:v>记录要求</x:v>
      </x:c>
      <x:c r="F4" s="39" t="str">
        <x:v>来源或说明</x:v>
      </x:c>
    </x:row>
    <x:row r="5" ht="115" customHeight="1">
      <x:c r="A5" s="40" t="str">
        <x:v>E1</x:v>
      </x:c>
      <x:c r="B5" s="40" t="str">
        <x:v>API 与真实 PostgreSQL</x:v>
      </x:c>
      <x:c r="C5" s="40" t="str">
        <x:v>按本地开发和验证矩阵配置 API、数据库及适用 worker、对象存储。</x:v>
      </x:c>
      <x:c r="D5" s="40" t="str">
        <x:v>两组织、三个项目和实际角色链；唯一数据前缀，仅清理本轮资源。</x:v>
      </x:c>
      <x:c r="E5" s="40" t="str">
        <x:v>实际 SHA、迁移、数据库身份、对象前缀、角色、命令与筛选。</x:v>
      </x:c>
      <x:c r="F5" s="40" t="str">
        <x:v>mock 只用于演示或组件验证，不能替代事务、权限和 API 证据。</x:v>
      </x:c>
    </x:row>
    <x:row r="6" ht="115" customHeight="1">
      <x:c r="A6" s="40" t="str">
        <x:v>E2</x:v>
      </x:c>
      <x:c r="B6" s="40" t="str">
        <x:v>目录专属数据库</x:v>
      </x:c>
      <x:c r="C6" s="40" t="str">
        <x:v>独立 PostgreSQL 数据库具备 pgvector；使用目录测试声明的数据规模和实际角色。</x:v>
      </x:c>
      <x:c r="D6" s="40" t="str">
        <x:v>不使用共享应用库；记录发布 ID 与摘要和 SQL 计数器。</x:v>
      </x:c>
      <x:c r="E6" s="40" t="str">
        <x:v>角色、发布、计数预算及实际 SQL；缺依赖记阻塞。</x:v>
      </x:c>
      <x:c r="F6" s="40" t="str">
        <x:v>本地 SQL 预算不等同目标性能或容量。</x:v>
      </x:c>
    </x:row>
    <x:row r="7" ht="115" customHeight="1">
      <x:c r="A7" s="40" t="str">
        <x:v>E3</x:v>
      </x:c>
      <x:c r="B7" s="40" t="str">
        <x:v>确定性模型</x:v>
      </x:c>
      <x:c r="C7" s="40" t="str">
        <x:v>脚本模型分别覆盖 loop 和 single-shot；按声明配置步骤及 token 预算。</x:v>
      </x:c>
      <x:c r="D7" s="40" t="str">
        <x:v>只在隔离框架内注入故障，不修改共享模型服务。</x:v>
      </x:c>
      <x:c r="E7" s="40" t="str">
        <x:v>模型脚本、内核、预算、调用、引用、来源和降级原因。</x:v>
      </x:c>
      <x:c r="F7" s="40" t="str">
        <x:v>行为评测不能替代标注语料质量评测或在线模型表现。</x:v>
      </x:c>
    </x:row>
    <x:row r="8" ht="115" customHeight="1">
      <x:c r="A8" s="40" t="str">
        <x:v>E4</x:v>
      </x:c>
      <x:c r="B8" s="40" t="str">
        <x:v>模拟器与设备桥</x:v>
      </x:c>
      <x:c r="C8" s="40" t="str">
        <x:v>启用协议绑定、桥、租约和恢复快照；真机需要另有授权的实验室目标。</x:v>
      </x:c>
      <x:c r="D8" s="40" t="str">
        <x:v>3000、3100、2、1 仅为模拟器测试值，不可直接移用于真机。</x:v>
      </x:c>
      <x:c r="E8" s="40" t="str">
        <x:v>设备与桥身份、命令、观测、产物摘要、恢复及残留。</x:v>
      </x:c>
      <x:c r="F8" s="40" t="str">
        <x:v>模拟器、HDC、ADB 证据分别登记。</x:v>
      </x:c>
    </x:row>
    <x:row r="9" ht="115" customHeight="1">
      <x:c r="A9" s="40" t="str">
        <x:v>E5</x:v>
      </x:c>
      <x:c r="B9" s="40" t="str">
        <x:v>OIDC</x:v>
      </x:c>
      <x:c r="C9" s="40" t="str">
        <x:v>配置测试签发者、受众、JWKS 和数据库用户；准备有效及非法令牌。</x:v>
      </x:c>
      <x:c r="D9" s="40" t="str">
        <x:v>禁止记录 token 或密钥；与 local、HMAC、dev 身份测试区分。</x:v>
      </x:c>
      <x:c r="E9" s="40" t="str">
        <x:v>认证模式、校验变体、脱敏请求关联和返回结果。</x:v>
      </x:c>
      <x:c r="F9" s="40" t="str">
        <x:v>本地替代身份不能证明真实 OIDC 接入通过。</x:v>
      </x:c>
    </x:row>
    <x:row r="10" ht="115" customHeight="1">
      <x:c r="A10" s="40" t="str">
        <x:v>E6</x:v>
      </x:c>
      <x:c r="B10" s="40" t="str">
        <x:v>浏览器</x:v>
      </x:c>
      <x:c r="C10" s="40" t="str">
        <x:v>启动本轮本地服务；使用 playwright-cli 按页面执行真实交互。</x:v>
      </x:c>
      <x:c r="D10" s="40" t="str">
        <x:v>桌面 1440×900；平板 768×1024；手机 390×844。</x:v>
      </x:c>
      <x:c r="E10" s="40" t="str">
        <x:v>每页每尺寸 snapshot、截图、控制台错误与相关网络请求。</x:v>
      </x:c>
      <x:c r="F10" s="40" t="str">
        <x:v>工具不能运行记阻塞；页面不报错不足以证明交互可用。</x:v>
      </x:c>
    </x:row>
    <x:row r="11" ht="115" customHeight="1">
      <x:c r="A11" s="40" t="str">
        <x:v>E7</x:v>
      </x:c>
      <x:c r="B11" s="40" t="str">
        <x:v>目标运维</x:v>
      </x:c>
      <x:c r="C11" s="40" t="str">
        <x:v>准备授权隔离目标、数据库与对象备份、回滚规则及预先确认的容量阈值。</x:v>
      </x:c>
      <x:c r="D11" s="40" t="str">
        <x:v>不针对共享或客户环境注入故障；迁移回滚遵循兼容性判断。</x:v>
      </x:c>
      <x:c r="E11" s="40" t="str">
        <x:v>版本、环境、备份摘要、数据谓词、耗时、缺口及恢复结果。</x:v>
      </x:c>
      <x:c r="F11" s="40" t="str">
        <x:v>目标就绪、Hosted、发布批准均需各自证据。</x:v>
      </x:c>
    </x:row>
    <x:row r="12" ht="28" customHeight="1">
      <x:c r="A12" s="37"/>
      <x:c r="B12" s="37"/>
      <x:c r="C12" s="37"/>
      <x:c r="D12" s="37"/>
      <x:c r="E12" s="37"/>
      <x:c r="F12" s="37"/>
    </x:row>
    <x:row r="13" ht="45" customHeight="1">
      <x:c r="A13" s="37" t="str">
        <x:v>编制来源：20 个 TDES 场景来自 2026-09-06 测试策略整理稿；下列链接固定到源码基线，相关代码存在不代表用例执行或覆盖完整。</x:v>
      </x:c>
      <x:c r="B13" s="37"/>
      <x:c r="C13" s="37"/>
      <x:c r="D13" s="37"/>
      <x:c r="E13" s="37"/>
      <x:c r="F13" s="37"/>
    </x:row>
    <x:row r="14" ht="28" customHeight="1">
      <x:c r="A14" s="37"/>
      <x:c r="B14" s="37"/>
      <x:c r="C14" s="37"/>
      <x:c r="D14" s="37"/>
      <x:c r="E14" s="37"/>
      <x:c r="F14" s="37"/>
    </x:row>
    <x:row r="15" ht="32" customHeight="1">
      <x:c r="A15" s="39" t="str">
        <x:v>来源ID</x:v>
      </x:c>
      <x:c r="B15" s="39" t="str">
        <x:v>关联设计ID</x:v>
      </x:c>
      <x:c r="C15" s="39" t="str">
        <x:v>相关资料</x:v>
      </x:c>
      <x:c r="D15" s="39" t="str">
        <x:v>固定源码地址</x:v>
      </x:c>
      <x:c r="E15" s="39" t="str">
        <x:v>用途</x:v>
      </x:c>
      <x:c r="F15" s="39" t="str">
        <x:v>证据边界</x:v>
      </x:c>
    </x:row>
    <x:row r="16" ht="120" customHeight="1">
      <x:c r="A16" s="40" t="str">
        <x:v>SRC-01</x:v>
      </x:c>
      <x:c r="B16" s="40" t="str">
        <x:v>TDES-PARAM-01</x:v>
      </x:c>
      <x:c r="C16" s="40" t="str">
        <x:v>parameters.acceptance.spec.ts
postCutoverWorkflow.integration.test.ts</x:v>
      </x:c>
      <x:c r="D16" s="40" t="str">
        <x:v>https://github.com/tzrea1-Q/WiseEff/blob/67d4a77325b6009b77c2373bd788298a6d022bcf/e2e/acceptance/parameters.acceptance.spec.ts
https://github.com/tzrea1-Q/WiseEff/blob/67d4a77325b6009b77c2373bd788298a6d022bcf/server/modules/parameter-topology/postCutoverWorkflow.integration.test.ts</x:v>
      </x:c>
      <x:c r="E16" s="40" t="str">
        <x:v>定位数据构造器、契约与相关断言</x:v>
      </x:c>
      <x:c r="F16" s="40" t="str">
        <x:v>未在本次执行；逐行确认覆盖，不能直接标记通过</x:v>
      </x:c>
    </x:row>
    <x:row r="17" ht="120" customHeight="1">
      <x:c r="A17" s="40" t="str">
        <x:v>SRC-02</x:v>
      </x:c>
      <x:c r="B17" s="40" t="str">
        <x:v>TDES-PARAM-02</x:v>
      </x:c>
      <x:c r="C17" s="40" t="str">
        <x:v>parameters-negative.acceptance.spec.ts
parameter-topology.acceptance.spec.ts</x:v>
      </x:c>
      <x:c r="D17" s="40" t="str">
        <x:v>https://github.com/tzrea1-Q/WiseEff/blob/67d4a77325b6009b77c2373bd788298a6d022bcf/e2e/acceptance/parameters-negative.acceptance.spec.ts
https://github.com/tzrea1-Q/WiseEff/blob/67d4a77325b6009b77c2373bd788298a6d022bcf/e2e/acceptance/parameter-topology.acceptance.spec.ts</x:v>
      </x:c>
      <x:c r="E17" s="40" t="str">
        <x:v>定位数据构造器、契约与相关断言</x:v>
      </x:c>
      <x:c r="F17" s="40" t="str">
        <x:v>未在本次执行；逐行确认覆盖，不能直接标记通过</x:v>
      </x:c>
    </x:row>
    <x:row r="18" ht="120" customHeight="1">
      <x:c r="A18" s="40" t="str">
        <x:v>SRC-03</x:v>
      </x:c>
      <x:c r="B18" s="40" t="str">
        <x:v>TDES-FILE-01</x:v>
      </x:c>
      <x:c r="C18" s="40" t="str">
        <x:v>parameter-import-wizard.acceptance.spec.ts
parameter-files.acceptance.spec.ts
config-set-revision-gate.acceptance.spec.ts</x:v>
      </x:c>
      <x:c r="D18" s="40" t="str">
        <x:v>https://github.com/tzrea1-Q/WiseEff/blob/67d4a77325b6009b77c2373bd788298a6d022bcf/e2e/acceptance/parameter-import-wizard.acceptance.spec.ts
https://github.com/tzrea1-Q/WiseEff/blob/67d4a77325b6009b77c2373bd788298a6d022bcf/e2e/acceptance/parameter-files.acceptance.spec.ts
https://github.com/tzrea1-Q/WiseEff/blob/67d4a77325b6009b77c2373bd788298a6d022bcf/e2e/acceptance/config-set-revision-gate.acceptance.spec.ts</x:v>
      </x:c>
      <x:c r="E18" s="40" t="str">
        <x:v>定位数据构造器、契约与相关断言</x:v>
      </x:c>
      <x:c r="F18" s="40" t="str">
        <x:v>未在本次执行；逐行确认覆盖，不能直接标记通过</x:v>
      </x:c>
    </x:row>
    <x:row r="19" ht="120" customHeight="1">
      <x:c r="A19" s="40" t="str">
        <x:v>SRC-04</x:v>
      </x:c>
      <x:c r="B19" s="40" t="str">
        <x:v>TDES-CAT-01</x:v>
      </x:c>
      <x:c r="C19" s="40" t="str">
        <x:v>productionComposition.integration.test.ts
rootUsageScope.integration.test.ts
parameter-catalog.acceptance.spec.ts</x:v>
      </x:c>
      <x:c r="D19" s="40" t="str">
        <x:v>https://github.com/tzrea1-Q/WiseEff/blob/67d4a77325b6009b77c2373bd788298a6d022bcf/server/modules/parameter-catalog-api/productionComposition.integration.test.ts
https://github.com/tzrea1-Q/WiseEff/blob/67d4a77325b6009b77c2373bd788298a6d022bcf/server/modules/parameter-catalog-api/rootUsageScope.integration.test.ts
https://github.com/tzrea1-Q/WiseEff/blob/67d4a77325b6009b77c2373bd788298a6d022bcf/e2e/acceptance/parameter-catalog.acceptance.spec.ts</x:v>
      </x:c>
      <x:c r="E19" s="40" t="str">
        <x:v>定位数据构造器、契约与相关断言</x:v>
      </x:c>
      <x:c r="F19" s="40" t="str">
        <x:v>未在本次执行；逐行确认覆盖，不能直接标记通过</x:v>
      </x:c>
    </x:row>
    <x:row r="20" ht="120" customHeight="1">
      <x:c r="A20" s="40" t="str">
        <x:v>SRC-05</x:v>
      </x:c>
      <x:c r="B20" s="40" t="str">
        <x:v>TDES-CAT-02</x:v>
      </x:c>
      <x:c r="C20" s="40" t="str">
        <x:v>workflow.integration.test.ts
parameter-catalog-governance.acceptance.spec.ts</x:v>
      </x:c>
      <x:c r="D20" s="40" t="str">
        <x:v>https://github.com/tzrea1-Q/WiseEff/blob/67d4a77325b6009b77c2373bd788298a6d022bcf/server/modules/parameter-governance/proposals/workflow.integration.test.ts
https://github.com/tzrea1-Q/WiseEff/blob/67d4a77325b6009b77c2373bd788298a6d022bcf/e2e/acceptance/parameter-catalog-governance.acceptance.spec.ts</x:v>
      </x:c>
      <x:c r="E20" s="40" t="str">
        <x:v>定位数据构造器、契约与相关断言</x:v>
      </x:c>
      <x:c r="F20" s="40" t="str">
        <x:v>未在本次执行；逐行确认覆盖，不能直接标记通过</x:v>
      </x:c>
    </x:row>
    <x:row r="21" ht="120" customHeight="1">
      <x:c r="A21" s="40" t="str">
        <x:v>SRC-06</x:v>
      </x:c>
      <x:c r="B21" s="40" t="str">
        <x:v>TDES-CAT-03</x:v>
      </x:c>
      <x:c r="C21" s="40" t="str">
        <x:v>rootBatchQueries.integration.test.ts</x:v>
      </x:c>
      <x:c r="D21" s="40" t="str">
        <x:v>https://github.com/tzrea1-Q/WiseEff/blob/67d4a77325b6009b77c2373bd788298a6d022bcf/server/modules/parameter-catalog-api/rootBatchQueries.integration.test.ts</x:v>
      </x:c>
      <x:c r="E21" s="40" t="str">
        <x:v>定位数据构造器、契约与相关断言</x:v>
      </x:c>
      <x:c r="F21" s="40" t="str">
        <x:v>未在本次执行；逐行确认覆盖，不能直接标记通过</x:v>
      </x:c>
    </x:row>
    <x:row r="22" ht="120" customHeight="1">
      <x:c r="A22" s="40" t="str">
        <x:v>SRC-07</x:v>
      </x:c>
      <x:c r="B22" s="40" t="str">
        <x:v>TDES-LOG-01</x:v>
      </x:c>
      <x:c r="C22" s="40" t="str">
        <x:v>log-analysis.acceptance.spec.ts</x:v>
      </x:c>
      <x:c r="D22" s="40" t="str">
        <x:v>https://github.com/tzrea1-Q/WiseEff/blob/67d4a77325b6009b77c2373bd788298a6d022bcf/e2e/acceptance/log-analysis.acceptance.spec.ts</x:v>
      </x:c>
      <x:c r="E22" s="40" t="str">
        <x:v>定位数据构造器、契约与相关断言</x:v>
      </x:c>
      <x:c r="F22" s="40" t="str">
        <x:v>未在本次执行；逐行确认覆盖，不能直接标记通过</x:v>
      </x:c>
    </x:row>
    <x:row r="23" ht="120" customHeight="1">
      <x:c r="A23" s="40" t="str">
        <x:v>SRC-08</x:v>
      </x:c>
      <x:c r="B23" s="40" t="str">
        <x:v>TDES-LOG-02</x:v>
      </x:c>
      <x:c r="C23" s="40" t="str">
        <x:v>worker.test.ts
</x:v>
      </x:c>
      <x:c r="D23" s="40" t="str">
        <x:v>https://github.com/tzrea1-Q/WiseEff/blob/67d4a77325b6009b77c2373bd788298a6d022bcf/server/modules/logs/worker.test.ts
https://github.com/tzrea1-Q/WiseEff/tree/67d4a77325b6009b77c2373bd788298a6d022bcf/server/modules/logs/eval/</x:v>
      </x:c>
      <x:c r="E23" s="40" t="str">
        <x:v>定位数据构造器、契约与相关断言</x:v>
      </x:c>
      <x:c r="F23" s="40" t="str">
        <x:v>未在本次执行；逐行确认覆盖，不能直接标记通过</x:v>
      </x:c>
    </x:row>
    <x:row r="24" ht="120" customHeight="1">
      <x:c r="A24" s="40" t="str">
        <x:v>SRC-09</x:v>
      </x:c>
      <x:c r="B24" s="40" t="str">
        <x:v>TDES-LOG-03</x:v>
      </x:c>
      <x:c r="C24" s="40" t="str">
        <x:v>worker.test.ts</x:v>
      </x:c>
      <x:c r="D24" s="40" t="str">
        <x:v>https://github.com/tzrea1-Q/WiseEff/blob/67d4a77325b6009b77c2373bd788298a6d022bcf/server/modules/logs/worker.test.ts</x:v>
      </x:c>
      <x:c r="E24" s="40" t="str">
        <x:v>定位数据构造器、契约与相关断言</x:v>
      </x:c>
      <x:c r="F24" s="40" t="str">
        <x:v>未在本次执行；逐行确认覆盖，不能直接标记通过</x:v>
      </x:c>
    </x:row>
    <x:row r="25" ht="120" customHeight="1">
      <x:c r="A25" s="40" t="str">
        <x:v>SRC-10</x:v>
      </x:c>
      <x:c r="B25" s="40" t="str">
        <x:v>TDES-DBG-01</x:v>
      </x:c>
      <x:c r="C25" s="40" t="str">
        <x:v>debugging-simulator.acceptance.spec.ts</x:v>
      </x:c>
      <x:c r="D25" s="40" t="str">
        <x:v>https://github.com/tzrea1-Q/WiseEff/blob/67d4a77325b6009b77c2373bd788298a6d022bcf/e2e/acceptance/debugging-simulator.acceptance.spec.ts</x:v>
      </x:c>
      <x:c r="E25" s="40" t="str">
        <x:v>定位数据构造器、契约与相关断言</x:v>
      </x:c>
      <x:c r="F25" s="40" t="str">
        <x:v>未在本次执行；逐行确认覆盖，不能直接标记通过</x:v>
      </x:c>
    </x:row>
    <x:row r="26" ht="120" customHeight="1">
      <x:c r="A26" s="40" t="str">
        <x:v>SRC-11</x:v>
      </x:c>
      <x:c r="B26" s="40" t="str">
        <x:v>TDES-DBG-02</x:v>
      </x:c>
      <x:c r="C26" s="40" t="str">
        <x:v>dts-reload-deploy.acceptance.spec.ts</x:v>
      </x:c>
      <x:c r="D26" s="40" t="str">
        <x:v>https://github.com/tzrea1-Q/WiseEff/blob/67d4a77325b6009b77c2373bd788298a6d022bcf/e2e/acceptance/dts-reload-deploy.acceptance.spec.ts</x:v>
      </x:c>
      <x:c r="E26" s="40" t="str">
        <x:v>定位数据构造器、契约与相关断言</x:v>
      </x:c>
      <x:c r="F26" s="40" t="str">
        <x:v>未在本次执行；逐行确认覆盖，不能直接标记通过</x:v>
      </x:c>
    </x:row>
    <x:row r="27" ht="120" customHeight="1">
      <x:c r="A27" s="40" t="str">
        <x:v>SRC-12</x:v>
      </x:c>
      <x:c r="B27" s="40" t="str">
        <x:v>TDES-AUTH-01</x:v>
      </x:c>
      <x:c r="C27" s="40" t="str">
        <x:v>auth-runtime.acceptance.spec.ts
permissions-matrix.acceptance.spec.ts</x:v>
      </x:c>
      <x:c r="D27" s="40" t="str">
        <x:v>https://github.com/tzrea1-Q/WiseEff/blob/67d4a77325b6009b77c2373bd788298a6d022bcf/e2e/acceptance/auth-runtime.acceptance.spec.ts
https://github.com/tzrea1-Q/WiseEff/blob/67d4a77325b6009b77c2373bd788298a6d022bcf/e2e/acceptance/permissions-matrix.acceptance.spec.ts</x:v>
      </x:c>
      <x:c r="E27" s="40" t="str">
        <x:v>定位数据构造器、契约与相关断言</x:v>
      </x:c>
      <x:c r="F27" s="40" t="str">
        <x:v>未在本次执行；逐行确认覆盖，不能直接标记通过</x:v>
      </x:c>
    </x:row>
    <x:row r="28" ht="120" customHeight="1">
      <x:c r="A28" s="40" t="str">
        <x:v>SRC-13</x:v>
      </x:c>
      <x:c r="B28" s="40" t="str">
        <x:v>TDES-AUTH-02</x:v>
      </x:c>
      <x:c r="C28" s="40" t="str">
        <x:v>deletion.integration.test.ts</x:v>
      </x:c>
      <x:c r="D28" s="40" t="str">
        <x:v>https://github.com/tzrea1-Q/WiseEff/blob/67d4a77325b6009b77c2373bd788298a6d022bcf/server/modules/users/deletion.integration.test.ts</x:v>
      </x:c>
      <x:c r="E28" s="40" t="str">
        <x:v>定位数据构造器、契约与相关断言</x:v>
      </x:c>
      <x:c r="F28" s="40" t="str">
        <x:v>未在本次执行；逐行确认覆盖，不能直接标记通过</x:v>
      </x:c>
    </x:row>
    <x:row r="29" ht="120" customHeight="1">
      <x:c r="A29" s="40" t="str">
        <x:v>SRC-14</x:v>
      </x:c>
      <x:c r="B29" s="40" t="str">
        <x:v>TDES-AGENT-01</x:v>
      </x:c>
      <x:c r="C29" s="40" t="str">
        <x:v>xiaoze-action.acceptance.spec.ts
orchestrator.test.ts</x:v>
      </x:c>
      <x:c r="D29" s="40" t="str">
        <x:v>https://github.com/tzrea1-Q/WiseEff/blob/67d4a77325b6009b77c2373bd788298a6d022bcf/e2e/acceptance/xiaoze-action.acceptance.spec.ts
https://github.com/tzrea1-Q/WiseEff/blob/67d4a77325b6009b77c2373bd788298a6d022bcf/server/modules/agent/orchestrator.test.ts</x:v>
      </x:c>
      <x:c r="E29" s="40" t="str">
        <x:v>定位数据构造器、契约与相关断言</x:v>
      </x:c>
      <x:c r="F29" s="40" t="str">
        <x:v>未在本次执行；逐行确认覆盖，不能直接标记通过</x:v>
      </x:c>
    </x:row>
    <x:row r="30" ht="120" customHeight="1">
      <x:c r="A30" s="40" t="str">
        <x:v>SRC-15</x:v>
      </x:c>
      <x:c r="B30" s="40" t="str">
        <x:v>TDES-AGENT-02</x:v>
      </x:c>
      <x:c r="C30" s="40" t="str">
        <x:v>durableCheckpointer.integration.test.ts
orchestrator.test.ts</x:v>
      </x:c>
      <x:c r="D30" s="40" t="str">
        <x:v>https://github.com/tzrea1-Q/WiseEff/blob/67d4a77325b6009b77c2373bd788298a6d022bcf/server/modules/agent/xiaoze/durableCheckpointer.integration.test.ts
https://github.com/tzrea1-Q/WiseEff/blob/67d4a77325b6009b77c2373bd788298a6d022bcf/server/modules/agent/orchestrator.test.ts</x:v>
      </x:c>
      <x:c r="E30" s="40" t="str">
        <x:v>定位数据构造器、契约与相关断言</x:v>
      </x:c>
      <x:c r="F30" s="40" t="str">
        <x:v>未在本次执行；逐行确认覆盖，不能直接标记通过</x:v>
      </x:c>
    </x:row>
    <x:row r="31" ht="120" customHeight="1">
      <x:c r="A31" s="40" t="str">
        <x:v>SRC-16</x:v>
      </x:c>
      <x:c r="B31" s="40" t="str">
        <x:v>TDES-KB-01</x:v>
      </x:c>
      <x:c r="C31" s="40" t="str">
        <x:v>knowledge.acceptance.spec.ts
service.test.ts</x:v>
      </x:c>
      <x:c r="D31" s="40" t="str">
        <x:v>https://github.com/tzrea1-Q/WiseEff/blob/67d4a77325b6009b77c2373bd788298a6d022bcf/e2e/acceptance/knowledge.acceptance.spec.ts
https://github.com/tzrea1-Q/WiseEff/blob/67d4a77325b6009b77c2373bd788298a6d022bcf/server/modules/knowledge/service.test.ts</x:v>
      </x:c>
      <x:c r="E31" s="40" t="str">
        <x:v>定位数据构造器、契约与相关断言</x:v>
      </x:c>
      <x:c r="F31" s="40" t="str">
        <x:v>未在本次执行；逐行确认覆盖，不能直接标记通过</x:v>
      </x:c>
    </x:row>
    <x:row r="32" ht="120" customHeight="1">
      <x:c r="A32" s="40" t="str">
        <x:v>SRC-17</x:v>
      </x:c>
      <x:c r="B32" s="40" t="str">
        <x:v>TDES-FEEDBACK-01</x:v>
      </x:c>
      <x:c r="C32" s="40" t="str">
        <x:v>product-feedback.acceptance.spec.ts</x:v>
      </x:c>
      <x:c r="D32" s="40" t="str">
        <x:v>https://github.com/tzrea1-Q/WiseEff/blob/67d4a77325b6009b77c2373bd788298a6d022bcf/e2e/acceptance/product-feedback.acceptance.spec.ts</x:v>
      </x:c>
      <x:c r="E32" s="40" t="str">
        <x:v>定位数据构造器、契约与相关断言</x:v>
      </x:c>
      <x:c r="F32" s="40" t="str">
        <x:v>未在本次执行；逐行确认覆盖，不能直接标记通过</x:v>
      </x:c>
    </x:row>
    <x:row r="33" ht="120" customHeight="1">
      <x:c r="A33" s="40" t="str">
        <x:v>SRC-18</x:v>
      </x:c>
      <x:c r="B33" s="40" t="str">
        <x:v>TDES-NOTIF-01</x:v>
      </x:c>
      <x:c r="C33" s="40" t="str">
        <x:v>notifications.acceptance.spec.ts</x:v>
      </x:c>
      <x:c r="D33" s="40" t="str">
        <x:v>https://github.com/tzrea1-Q/WiseEff/blob/67d4a77325b6009b77c2373bd788298a6d022bcf/e2e/acceptance/notifications.acceptance.spec.ts</x:v>
      </x:c>
      <x:c r="E33" s="40" t="str">
        <x:v>定位数据构造器、契约与相关断言</x:v>
      </x:c>
      <x:c r="F33" s="40" t="str">
        <x:v>未在本次执行；逐行确认覆盖，不能直接标记通过</x:v>
      </x:c>
    </x:row>
    <x:row r="34" ht="120" customHeight="1">
      <x:c r="A34" s="40" t="str">
        <x:v>SRC-19</x:v>
      </x:c>
      <x:c r="B34" s="40" t="str">
        <x:v>TDES-UI-01</x:v>
      </x:c>
      <x:c r="C34" s="40" t="str">
        <x:v>shell-navigation.acceptance.spec.ts</x:v>
      </x:c>
      <x:c r="D34" s="40" t="str">
        <x:v>https://github.com/tzrea1-Q/WiseEff/blob/67d4a77325b6009b77c2373bd788298a6d022bcf/e2e/acceptance/shell-navigation.acceptance.spec.ts</x:v>
      </x:c>
      <x:c r="E34" s="40" t="str">
        <x:v>定位数据构造器、契约与相关断言</x:v>
      </x:c>
      <x:c r="F34" s="40" t="str">
        <x:v>未在本次执行；逐行确认覆盖，不能直接标记通过</x:v>
      </x:c>
    </x:row>
    <x:row r="35" ht="120" customHeight="1">
      <x:c r="A35" s="40" t="str">
        <x:v>SRC-20</x:v>
      </x:c>
      <x:c r="B35" s="40" t="str">
        <x:v>TDES-OPS-01</x:v>
      </x:c>
      <x:c r="C35" s="40" t="str">
        <x:v>upgrade.sh.test.ts
manual-acceptance.md
verification-matrix.md</x:v>
      </x:c>
      <x:c r="D35" s="40" t="str">
        <x:v>https://github.com/tzrea1-Q/WiseEff/blob/67d4a77325b6009b77c2373bd788298a6d022bcf/ops/self-hosted/scripts/upgrade.sh.test.ts
https://github.com/tzrea1-Q/WiseEff/blob/67d4a77325b6009b77c2373bd788298a6d022bcf/docs/runbooks/manual-acceptance.md
https://github.com/tzrea1-Q/WiseEff/blob/67d4a77325b6009b77c2373bd788298a6d022bcf/docs/developer/verification-matrix.md</x:v>
      </x:c>
      <x:c r="E35" s="40" t="str">
        <x:v>定位数据构造器、契约与相关断言</x:v>
      </x:c>
      <x:c r="F35" s="40" t="str">
        <x:v>未在本次执行；逐行确认覆盖，不能直接标记通过</x:v>
      </x:c>
    </x:row>
    <x:row r="36" ht="28" customHeight="1">
      <x:c r="A36" s="37"/>
      <x:c r="B36" s="37"/>
      <x:c r="C36" s="37"/>
      <x:c r="D36" s="37"/>
      <x:c r="E36" s="37"/>
      <x:c r="F36" s="37"/>
    </x:row>
    <x:row r="37" ht="28" customHeight="1">
      <x:c r="A37" s="37"/>
      <x:c r="B37" s="37"/>
      <x:c r="C37" s="37"/>
      <x:c r="D37" s="37"/>
      <x:c r="E37" s="37"/>
      <x:c r="F37" s="37"/>
    </x:row>
    <x:row r="38" ht="28" customHeight="1">
      <x:c r="A38" s="37"/>
      <x:c r="B38" s="37"/>
      <x:c r="C38" s="37"/>
      <x:c r="D38" s="37"/>
      <x:c r="E38" s="37"/>
      <x:c r="F38" s="37"/>
    </x:row>
    <x:row r="39" ht="28" customHeight="1">
      <x:c r="A39" s="37"/>
      <x:c r="B39" s="37"/>
      <x:c r="C39" s="37"/>
      <x:c r="D39" s="37"/>
      <x:c r="E39" s="37"/>
      <x:c r="F39" s="37"/>
    </x:row>
    <x:row r="40" ht="28" customHeight="1">
      <x:c r="A40" s="37"/>
      <x:c r="B40" s="37"/>
      <x:c r="C40" s="37"/>
      <x:c r="D40" s="37"/>
      <x:c r="E40" s="37"/>
      <x:c r="F40" s="37"/>
    </x:row>
    <x:row r="41" ht="28" customHeight="1">
      <x:c r="A41" s="37"/>
      <x:c r="B41" s="37"/>
      <x:c r="C41" s="37"/>
      <x:c r="D41" s="37"/>
      <x:c r="E41" s="37"/>
      <x:c r="F41" s="37"/>
    </x:row>
    <x:row r="42" ht="28" customHeight="1">
      <x:c r="A42" s="37"/>
      <x:c r="B42" s="37"/>
      <x:c r="C42" s="37"/>
      <x:c r="D42" s="37"/>
      <x:c r="E42" s="37"/>
      <x:c r="F42" s="37"/>
    </x:row>
    <x:row r="43" ht="28" customHeight="1">
      <x:c r="A43" s="37"/>
      <x:c r="B43" s="37"/>
      <x:c r="C43" s="37"/>
      <x:c r="D43" s="37"/>
      <x:c r="E43" s="37"/>
      <x:c r="F43" s="37"/>
    </x:row>
    <x:row r="44" ht="28" customHeight="1">
      <x:c r="A44" s="37"/>
      <x:c r="B44" s="37"/>
      <x:c r="C44" s="37"/>
      <x:c r="D44" s="37"/>
      <x:c r="E44" s="37"/>
      <x:c r="F44" s="37"/>
    </x:row>
    <x:row r="45" ht="28" customHeight="1">
      <x:c r="A45" s="37"/>
      <x:c r="B45" s="37"/>
      <x:c r="C45" s="37"/>
      <x:c r="D45" s="37"/>
      <x:c r="E45" s="37"/>
      <x:c r="F45" s="37"/>
    </x:row>
  </x:sheetData>
  <x:mergeCells>
    <x:mergeCell ref="A1:F1"/>
    <x:mergeCell ref="A2:F2"/>
    <x:mergeCell ref="A13:F13"/>
  </x:mergeCells>
  <x:pageMargins left="0.7" right="0.7" top="0.75" bottom="0.75" header="0.3" footer="0.3"/>
  <x:tableParts count="2">
    <x:tablePart xmlns:r="http://schemas.openxmlformats.org/officeDocument/2006/relationships" r:id="R186870f15260423e"/>
    <x:tablePart xmlns:r="http://schemas.openxmlformats.org/officeDocument/2006/relationships" r:id="R298a24d1e25f4173"/>
  </x:tableParts>
</x:worksheet>
</file>